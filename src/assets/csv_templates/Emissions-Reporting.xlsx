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66925"/>
  <xr:revisionPtr revIDLastSave="0" documentId="13_ncr:1_{A9BAB3A5-94E4-41B6-BF40-84E8519E7BD5}" xr6:coauthVersionLast="47" xr6:coauthVersionMax="47" xr10:uidLastSave="{00000000-0000-0000-0000-000000000000}"/>
  <bookViews>
    <workbookView xWindow="57490" yWindow="-14560" windowWidth="38620" windowHeight="21100" xr2:uid="{00000000-000D-0000-FFFF-FFFF00000000}"/>
  </bookViews>
  <sheets>
    <sheet name="Portfolio Emissions" sheetId="26" r:id="rId1"/>
    <sheet name="Facility Emissions" sheetId="19" r:id="rId2"/>
    <sheet name="Comments" sheetId="21" r:id="rId3"/>
    <sheet name="Data Validation" sheetId="2" state="hidden" r:id="rId4"/>
    <sheet name="US Emission Factors" sheetId="29" state="hidden" r:id="rId5"/>
  </sheets>
  <definedNames>
    <definedName name="_xlnm.Print_Area" localSheetId="2">Comments!$A1:$K10</definedName>
    <definedName name="_xlnm.Print_Area" localSheetId="1">'Facility Emissions'!$A1:$H12</definedName>
    <definedName name="_xlnm.Print_Area" localSheetId="0">'Portfolio Emissions'!$A1:$I37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K9" i="2"/>
  <c r="K7" i="2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P63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Q36" i="26"/>
  <c r="Q63" i="26" s="1"/>
  <c r="P36" i="26"/>
  <c r="O36" i="26"/>
  <c r="O63" i="26" s="1"/>
  <c r="N36" i="26"/>
  <c r="N63" i="26" s="1"/>
  <c r="M36" i="26"/>
  <c r="M63" i="26" s="1"/>
  <c r="L36" i="26"/>
  <c r="L63" i="26" s="1"/>
  <c r="K36" i="26"/>
  <c r="K63" i="26" s="1"/>
  <c r="J36" i="26"/>
  <c r="J63" i="26" s="1"/>
  <c r="I36" i="26"/>
  <c r="I63" i="26" s="1"/>
  <c r="H36" i="26"/>
  <c r="H63" i="26" s="1"/>
  <c r="G36" i="26"/>
  <c r="G63" i="26" s="1"/>
  <c r="F36" i="26"/>
  <c r="F63" i="26" s="1"/>
  <c r="E36" i="26"/>
  <c r="E63" i="26" s="1"/>
  <c r="D36" i="26"/>
  <c r="D63" i="26" s="1"/>
  <c r="Q26" i="26"/>
  <c r="P26" i="26"/>
  <c r="O26" i="26"/>
  <c r="N26" i="26"/>
  <c r="M26" i="26"/>
  <c r="L26" i="26"/>
  <c r="K26" i="26"/>
  <c r="K31" i="26" s="1"/>
  <c r="J26" i="26"/>
  <c r="J32" i="26" s="1"/>
  <c r="I26" i="26"/>
  <c r="H26" i="26"/>
  <c r="H31" i="26" s="1"/>
  <c r="G26" i="26"/>
  <c r="F26" i="26"/>
  <c r="F31" i="26" s="1"/>
  <c r="E26" i="26"/>
  <c r="D26" i="26"/>
  <c r="D8" i="26"/>
  <c r="K32" i="26" l="1"/>
  <c r="L80" i="26"/>
  <c r="K80" i="26"/>
  <c r="I32" i="26"/>
  <c r="I82" i="26"/>
  <c r="Q82" i="26"/>
  <c r="M82" i="26"/>
  <c r="E82" i="26"/>
  <c r="D80" i="26"/>
  <c r="L81" i="26" s="1"/>
  <c r="N31" i="26"/>
  <c r="L32" i="26"/>
  <c r="M32" i="26"/>
  <c r="J31" i="26"/>
  <c r="F82" i="26"/>
  <c r="F80" i="26"/>
  <c r="G80" i="26"/>
  <c r="G82" i="26"/>
  <c r="O80" i="26"/>
  <c r="O82" i="26"/>
  <c r="N82" i="26"/>
  <c r="N80" i="26"/>
  <c r="J80" i="26"/>
  <c r="J82" i="26"/>
  <c r="G32" i="26"/>
  <c r="P82" i="26"/>
  <c r="G31" i="26"/>
  <c r="Q31" i="26"/>
  <c r="Q80" i="26"/>
  <c r="E80" i="26"/>
  <c r="D31" i="26"/>
  <c r="D32" i="26" s="1"/>
  <c r="L31" i="26"/>
  <c r="P32" i="26"/>
  <c r="H80" i="26"/>
  <c r="O32" i="26"/>
  <c r="M80" i="26"/>
  <c r="P80" i="26"/>
  <c r="H82" i="26"/>
  <c r="E31" i="26"/>
  <c r="E32" i="26" s="1"/>
  <c r="I80" i="26"/>
  <c r="K82" i="26"/>
  <c r="O31" i="26"/>
  <c r="P31" i="26"/>
  <c r="E8" i="26"/>
  <c r="M31" i="26"/>
  <c r="I31" i="26"/>
  <c r="Q32" i="26"/>
  <c r="F32" i="26"/>
  <c r="N32" i="26"/>
  <c r="H32" i="26"/>
  <c r="D82" i="26"/>
  <c r="L82" i="26"/>
  <c r="I81" i="26" l="1"/>
  <c r="O83" i="26"/>
  <c r="H81" i="26"/>
  <c r="G81" i="26"/>
  <c r="E81" i="26"/>
  <c r="J81" i="26"/>
  <c r="F81" i="26"/>
  <c r="O81" i="26"/>
  <c r="K81" i="26"/>
  <c r="P81" i="26"/>
  <c r="Q81" i="26"/>
  <c r="N81" i="26"/>
  <c r="M81" i="26"/>
  <c r="D81" i="26"/>
  <c r="E83" i="26"/>
  <c r="K83" i="26"/>
  <c r="H83" i="26"/>
  <c r="Q83" i="26"/>
  <c r="I83" i="26"/>
  <c r="F8" i="26"/>
  <c r="M83" i="26"/>
  <c r="P83" i="26"/>
  <c r="J83" i="26"/>
  <c r="D83" i="26"/>
  <c r="L83" i="26"/>
  <c r="G83" i="26"/>
  <c r="N83" i="26"/>
  <c r="F83" i="26"/>
  <c r="G8" i="26" l="1"/>
  <c r="H8" i="26" l="1"/>
  <c r="I8" i="26" l="1"/>
  <c r="J8" i="26" l="1"/>
  <c r="K8" i="26" l="1"/>
  <c r="L8" i="26" l="1"/>
  <c r="M8" i="26" l="1"/>
  <c r="N8" i="26" l="1"/>
  <c r="O8" i="26" l="1"/>
  <c r="P8" i="26" l="1"/>
  <c r="Q8" i="26" l="1"/>
</calcChain>
</file>

<file path=xl/sharedStrings.xml><?xml version="1.0" encoding="utf-8"?>
<sst xmlns="http://schemas.openxmlformats.org/spreadsheetml/2006/main" count="325" uniqueCount="203">
  <si>
    <t>Portfolio Emissions</t>
  </si>
  <si>
    <t xml:space="preserve">Partner Name: </t>
  </si>
  <si>
    <t>GHG emissions reduction goal (%)</t>
  </si>
  <si>
    <t>Data reporting period (calendar or fiscal year)</t>
  </si>
  <si>
    <t>Calendar Year (December 31)</t>
  </si>
  <si>
    <t>Base Year</t>
  </si>
  <si>
    <t>Reporting toward a market-based or location-based goal?</t>
  </si>
  <si>
    <t>Market-Based GHG Goal</t>
  </si>
  <si>
    <t>Goal End Date</t>
  </si>
  <si>
    <t>Energy efficiency target</t>
  </si>
  <si>
    <t>Section 1:  Portfolio Information</t>
  </si>
  <si>
    <t>Square Feet</t>
  </si>
  <si>
    <t>Number of facilities</t>
  </si>
  <si>
    <r>
      <t>Section 2: Absolute Emissions (Metric tons CO</t>
    </r>
    <r>
      <rPr>
        <b/>
        <vertAlign val="subscript"/>
        <sz val="12"/>
        <color theme="0"/>
        <rFont val="Arial"/>
        <family val="2"/>
      </rPr>
      <t>2</t>
    </r>
    <r>
      <rPr>
        <b/>
        <sz val="12"/>
        <color theme="0"/>
        <rFont val="Arial"/>
        <family val="2"/>
      </rPr>
      <t>e)</t>
    </r>
  </si>
  <si>
    <t>Scope 1 Emissions</t>
  </si>
  <si>
    <t>Stationary Emissions</t>
  </si>
  <si>
    <t>Mobile Emissions</t>
  </si>
  <si>
    <t>Fugitive Emissions</t>
  </si>
  <si>
    <t>Process Emissions</t>
  </si>
  <si>
    <t>Scope 2 Emissions (Location-Based) from Electricity &amp; District Energy</t>
  </si>
  <si>
    <t>Scope 2 Emissions (Market-Based) from Electricity &amp; District Energy</t>
  </si>
  <si>
    <r>
      <t xml:space="preserve">Scope 3 Emissions (Location-Based) from Leased Assets </t>
    </r>
    <r>
      <rPr>
        <i/>
        <sz val="11"/>
        <rFont val="Arial"/>
        <family val="2"/>
      </rPr>
      <t>(if applicable, see notes)</t>
    </r>
  </si>
  <si>
    <r>
      <t>Scope 3 Emissions (Market-Based) from Leased Assets</t>
    </r>
    <r>
      <rPr>
        <i/>
        <sz val="11"/>
        <rFont val="Arial"/>
        <family val="2"/>
      </rPr>
      <t xml:space="preserve"> (if applicable, see notes)</t>
    </r>
  </si>
  <si>
    <t>Total Emissions (Metric Tons)</t>
  </si>
  <si>
    <t xml:space="preserve">If Applicable: Bioenergy and Biomass Emissions </t>
  </si>
  <si>
    <t>Section 3: GHG Emissions Reductions</t>
  </si>
  <si>
    <r>
      <t>GHG Emissions Reductions (Metric tons CO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e)</t>
    </r>
  </si>
  <si>
    <t>GHG Emissions Reductions (%)</t>
  </si>
  <si>
    <r>
      <t xml:space="preserve">Section 4: Total Energy Use for Portfolio   </t>
    </r>
    <r>
      <rPr>
        <i/>
        <sz val="12"/>
        <color theme="0"/>
        <rFont val="Arial"/>
        <family val="2"/>
      </rPr>
      <t xml:space="preserve">  (Provide total Site Energy used across your organization, including facilities, vehicles, and other uses.  This includes energy use associated with scope 1 and 2 emissions sources and scope 3 Leased Assets, as applicable.)</t>
    </r>
  </si>
  <si>
    <t>Total Electricity Consumption (MWh)</t>
  </si>
  <si>
    <t>Renewable Energy Generated and Used On-site (MWh)</t>
  </si>
  <si>
    <t>Purchased or Acquired Electricity (MWh)</t>
  </si>
  <si>
    <t>Physical PPAs, Competitive or Utility Products, CCAs, Self-supply (MWh)</t>
  </si>
  <si>
    <t>Financial / Virtual PPAs (MWh)</t>
  </si>
  <si>
    <t>Unbundled RECs (MWh)</t>
  </si>
  <si>
    <t>Remaining Grid Electricity (MWh)</t>
  </si>
  <si>
    <t>District Steam (MMBtu)</t>
  </si>
  <si>
    <t>District Hot Water (MMBtu)</t>
  </si>
  <si>
    <t>District Chilled Water (MMBtu)</t>
  </si>
  <si>
    <t>Natural Gas (MMBtu)</t>
  </si>
  <si>
    <t>Distillate or Light Fuel Oil (#1, 2, &amp; 4) (MMBtu)</t>
  </si>
  <si>
    <t>Propane (MMBtu)</t>
  </si>
  <si>
    <t xml:space="preserve">Coke (MMBtu) </t>
  </si>
  <si>
    <t>Coal (MMBtu)</t>
  </si>
  <si>
    <t>Residual or Heavy Fuel Oil (# 5, 6, Navy Special &amp; Bunker C) (MMBtu)</t>
  </si>
  <si>
    <t>Biomass (MMBtu)</t>
  </si>
  <si>
    <t>Renewable Natural Gas (MMBtu)</t>
  </si>
  <si>
    <t>Hydrogen (MMBtu)</t>
  </si>
  <si>
    <t>Gasoline (MMBtu)</t>
  </si>
  <si>
    <t>Diesel (MMBtu)</t>
  </si>
  <si>
    <t>Biodiesel (MMBtu)</t>
  </si>
  <si>
    <t>Compressed Natural Gas (CNG) (MMBtu)</t>
  </si>
  <si>
    <t>Liquified Natural Gas (LNG) (MMBtu)</t>
  </si>
  <si>
    <t>Ethanol Fuel Blend (E85) (MMBtu)</t>
  </si>
  <si>
    <t>Other Fuel (Jet Fuel) (MMBtu)</t>
  </si>
  <si>
    <t>Other Fuel (please specify) (MMBtu)</t>
  </si>
  <si>
    <t>Total Energy Use (MMBtu)</t>
  </si>
  <si>
    <r>
      <t xml:space="preserve">Section 5: Energy Use for Vehicles     </t>
    </r>
    <r>
      <rPr>
        <i/>
        <sz val="12"/>
        <color theme="0"/>
        <rFont val="Arial"/>
        <family val="2"/>
      </rPr>
      <t>(Organizations with significant vehicle energy use should provide the portion of Section 4 energy use that is associated with vehicles.)</t>
    </r>
  </si>
  <si>
    <t xml:space="preserve">Electricity Use (MWh) </t>
  </si>
  <si>
    <t>Total Vehicle Energy Use (MMBtu)</t>
  </si>
  <si>
    <t>Total Site Energy Use Intensity (kBtu/sq. ft.)</t>
  </si>
  <si>
    <t>Total Site Energy Use Intensity Reductions (%)</t>
  </si>
  <si>
    <t>Total Source Energy Use Intensity (kBtu/sq. ft.)</t>
  </si>
  <si>
    <t>Total Source Energy Use Intensity Reductions (%)</t>
  </si>
  <si>
    <t>Custom Metric (please specify)</t>
  </si>
  <si>
    <t>Year</t>
  </si>
  <si>
    <t>Description: Enter your response below</t>
  </si>
  <si>
    <t>Facility Emissions</t>
  </si>
  <si>
    <t>Reporting Year</t>
  </si>
  <si>
    <t>Facility Name or ID</t>
  </si>
  <si>
    <t>Gross Floor Area (Sq. Ft.)</t>
  </si>
  <si>
    <t>Latitude</t>
  </si>
  <si>
    <t>Longitude</t>
  </si>
  <si>
    <r>
      <t>Scope 1 emissions 
(metric tons CO</t>
    </r>
    <r>
      <rPr>
        <b/>
        <vertAlign val="subscript"/>
        <sz val="11"/>
        <color theme="0"/>
        <rFont val="Ariel"/>
      </rPr>
      <t>2</t>
    </r>
    <r>
      <rPr>
        <b/>
        <sz val="11"/>
        <color theme="0"/>
        <rFont val="Ariel"/>
      </rPr>
      <t>e)</t>
    </r>
  </si>
  <si>
    <r>
      <t>Scope 2, location-based
(metric tons CO</t>
    </r>
    <r>
      <rPr>
        <b/>
        <vertAlign val="subscript"/>
        <sz val="11"/>
        <color theme="0"/>
        <rFont val="Ariel"/>
      </rPr>
      <t>2</t>
    </r>
    <r>
      <rPr>
        <b/>
        <sz val="11"/>
        <color theme="0"/>
        <rFont val="Ariel"/>
      </rPr>
      <t>e)</t>
    </r>
  </si>
  <si>
    <r>
      <t>Scope 2, market-based
(metric tons CO</t>
    </r>
    <r>
      <rPr>
        <b/>
        <vertAlign val="subscript"/>
        <sz val="11"/>
        <color theme="0"/>
        <rFont val="Ariel"/>
      </rPr>
      <t>2</t>
    </r>
    <r>
      <rPr>
        <b/>
        <sz val="11"/>
        <color theme="0"/>
        <rFont val="Ariel"/>
      </rPr>
      <t>e)</t>
    </r>
  </si>
  <si>
    <t>Comments</t>
  </si>
  <si>
    <t>Base year options</t>
  </si>
  <si>
    <t>Reporting period</t>
  </si>
  <si>
    <t>All Emission Factors from BEC Methodology unless otherwise noted</t>
  </si>
  <si>
    <t>Building Emissions Calculator Methodology (energystar.gov)</t>
  </si>
  <si>
    <t>Emissions Factors QC Reference Table</t>
  </si>
  <si>
    <t>https://www.eia.gov/environment/emissions/co2_vol_mass.php</t>
  </si>
  <si>
    <t>For gasoline &amp; ethanol EF</t>
  </si>
  <si>
    <t>Electric Driven Chiller: 52.7 kg CO2e/MMBtu</t>
  </si>
  <si>
    <t>Absorption Chiller using NG: 73.86 kg CO2e/MMBtu</t>
  </si>
  <si>
    <t>kg CO2e/MMbtu</t>
  </si>
  <si>
    <t>Engine Driven Chiller NG: 49.29 kg CO2e/MMBtu</t>
  </si>
  <si>
    <t>January 31</t>
  </si>
  <si>
    <t>Location-Based GHG Goal</t>
  </si>
  <si>
    <t>Fuel Oil #1: 74.21 kg CO2e/MMBtu</t>
  </si>
  <si>
    <t>February 29</t>
  </si>
  <si>
    <t>Fuel Oil #2: 73.5 kg CO2e/MMBtu</t>
  </si>
  <si>
    <t>March 31</t>
  </si>
  <si>
    <t>Fuel Oil #4: 75.29 kg CO2e/MMBtu</t>
  </si>
  <si>
    <t>April 30</t>
  </si>
  <si>
    <t>Coal (anthracite): 104.44 kg CO2e/MMBtu</t>
  </si>
  <si>
    <t>May 31</t>
  </si>
  <si>
    <t>Coal (bituminous): 94.03 kg CO2e/MMBtu</t>
  </si>
  <si>
    <t>June 30</t>
  </si>
  <si>
    <t>July 31</t>
  </si>
  <si>
    <t>August 31</t>
  </si>
  <si>
    <t>September 30</t>
  </si>
  <si>
    <t>October 31</t>
  </si>
  <si>
    <t>November 30</t>
  </si>
  <si>
    <t xml:space="preserve">Site to source conversion for SumProduct </t>
  </si>
  <si>
    <t>A (energystar.gov)</t>
  </si>
  <si>
    <t>MWh to MMBtu conversion</t>
  </si>
  <si>
    <t>effective December 11, 2022</t>
  </si>
  <si>
    <t>Historical Greenhouse Gas Factors, 2000 - 2022 | ENERGY STAR</t>
  </si>
  <si>
    <t>US Emissions Factors (kg CO2eq/MBtu)</t>
  </si>
  <si>
    <t>Fuel Type</t>
  </si>
  <si>
    <t>Subregion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</si>
  <si>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</si>
  <si>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</si>
  <si>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</si>
  <si>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</si>
  <si>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</si>
  <si>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</si>
  <si>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</si>
  <si>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</si>
  <si>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</si>
  <si>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</si>
  <si>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</si>
  <si>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</si>
  <si>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</si>
  <si>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</si>
  <si>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</si>
  <si>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</si>
  <si>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</si>
  <si>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</si>
  <si>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</si>
  <si>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</si>
  <si>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</si>
  <si>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</si>
  <si>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</si>
  <si>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Direct GHG Emissions</t>
  </si>
  <si>
    <t>Natural Gas</t>
  </si>
  <si>
    <t/>
  </si>
  <si>
    <t>Propane</t>
  </si>
  <si>
    <t>Fuel Oil (No. 1)</t>
  </si>
  <si>
    <t>Fuel Oil (No. 2)</t>
  </si>
  <si>
    <t>Fuel Oil (No. 4)</t>
  </si>
  <si>
    <t>Fuel Oil (No. 5 &amp; No. 6)</t>
  </si>
  <si>
    <t>Diesel</t>
  </si>
  <si>
    <t>Coal (anthracite)</t>
  </si>
  <si>
    <t>Coal (bituminous)</t>
  </si>
  <si>
    <t>Coke</t>
  </si>
  <si>
    <t>Kerosene</t>
  </si>
  <si>
    <t>Indirect GHG Emissions - District Fuels</t>
  </si>
  <si>
    <t>District Steam</t>
  </si>
  <si>
    <t>District Hot Water</t>
  </si>
  <si>
    <t>District Chilled Water - Electric Driven Chiller</t>
  </si>
  <si>
    <t>District Chilled Water - Absorption Chiller using Natural Gas</t>
  </si>
  <si>
    <t>District Chilled Water - Engine-Driven Chiller Natural Gas</t>
  </si>
  <si>
    <t>Biomass GHG Emissions</t>
  </si>
  <si>
    <t>Wood</t>
  </si>
  <si>
    <t>Indirect GHG Emissions - Electricity</t>
  </si>
  <si>
    <t>Electricity - Grid</t>
  </si>
  <si>
    <t>AKGD</t>
  </si>
  <si>
    <t>AKMS</t>
  </si>
  <si>
    <t>AZNM</t>
  </si>
  <si>
    <t>CAMX</t>
  </si>
  <si>
    <t>ERCT</t>
  </si>
  <si>
    <t>FRCC</t>
  </si>
  <si>
    <t>HIMS</t>
  </si>
  <si>
    <t>HIOA</t>
  </si>
  <si>
    <t>MROE</t>
  </si>
  <si>
    <t>MROW</t>
  </si>
  <si>
    <t>NEWE</t>
  </si>
  <si>
    <t>NWPP</t>
  </si>
  <si>
    <t>NYCW</t>
  </si>
  <si>
    <t>NYLI</t>
  </si>
  <si>
    <t>NYUP</t>
  </si>
  <si>
    <t>PRMS</t>
  </si>
  <si>
    <t>RFCE</t>
  </si>
  <si>
    <t>RFCM</t>
  </si>
  <si>
    <t>RFCW</t>
  </si>
  <si>
    <t>RMPA</t>
  </si>
  <si>
    <t>SPNO</t>
  </si>
  <si>
    <t>SPSO</t>
  </si>
  <si>
    <t>SRMV</t>
  </si>
  <si>
    <t>SRMW</t>
  </si>
  <si>
    <t>SRSO</t>
  </si>
  <si>
    <t>SRTV</t>
  </si>
  <si>
    <t>SRVC</t>
  </si>
  <si>
    <t>National</t>
  </si>
  <si>
    <t>Data Source for Period Ending Date</t>
  </si>
  <si>
    <t>eGRID 2005</t>
  </si>
  <si>
    <t>eGRID 2007</t>
  </si>
  <si>
    <t>eGRID 2009</t>
  </si>
  <si>
    <t>eGRID 2010</t>
  </si>
  <si>
    <t>eGRID 2012</t>
  </si>
  <si>
    <t>eGRID 2014</t>
  </si>
  <si>
    <t>eGRID 2016</t>
  </si>
  <si>
    <t>eGRID 2018</t>
  </si>
  <si>
    <t>eGRID 2019</t>
  </si>
  <si>
    <t>eGRID 2020</t>
  </si>
  <si>
    <t>* eGRID region PRMS (Puerto Rico) uses version eGRID2019 for all years before 2019</t>
  </si>
  <si>
    <t>Sources for emissions factors:</t>
  </si>
  <si>
    <t>• U.S. Environmental Protection Agency Emissions &amp; Generation Resource Integrated Database (eGRID), https://www.epa.gov/egrid</t>
  </si>
  <si>
    <t>• U.S Environmental Protection Agency Center for Corporate Climate Leadership GHG Emission Factors Hub, https://www.epa.gov/climateleadership/ghg-emission-factors-hub</t>
  </si>
  <si>
    <t>Section 6: Energy Efficiency Target Tracking - 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</si>
</sst>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000"/>
  </numFmts>
  <fonts count="50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20"/>
      <color rgb="FF1D428A"/>
      <name val="Arial"/>
      <family val="2"/>
    </font>
    <font>
      <b/>
      <sz val="20"/>
      <color rgb="FF002060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1"/>
      <color theme="1" tint="0.34998626667073579"/>
      <name val="Arial"/>
      <family val="2"/>
    </font>
    <font>
      <b/>
      <sz val="12"/>
      <color theme="0"/>
      <name val="Arial"/>
      <family val="2"/>
    </font>
    <font>
      <sz val="11"/>
      <color theme="1"/>
      <name val="Ariel"/>
    </font>
    <font>
      <b/>
      <sz val="11"/>
      <name val="Calibri"/>
      <family val="2"/>
      <scheme val="minor"/>
    </font>
    <font>
      <b/>
      <sz val="11"/>
      <name val="Arial"/>
      <family val="2"/>
    </font>
    <font>
      <sz val="11"/>
      <name val="Ariel"/>
    </font>
    <font>
      <b/>
      <sz val="11"/>
      <color theme="1"/>
      <name val="Ariel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1D428A"/>
      <name val="Ariel"/>
    </font>
    <font>
      <b/>
      <sz val="20"/>
      <color rgb="FF002060"/>
      <name val="Ariel"/>
    </font>
    <font>
      <b/>
      <sz val="20"/>
      <color rgb="FF002060"/>
      <name val="Calibri"/>
      <family val="2"/>
      <scheme val="minor"/>
    </font>
    <font>
      <b/>
      <sz val="12"/>
      <name val="Ariel"/>
    </font>
    <font>
      <b/>
      <sz val="11"/>
      <color theme="0"/>
      <name val="Ariel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el"/>
    </font>
    <font>
      <sz val="11"/>
      <color theme="1" tint="0.34998626667073579"/>
      <name val="Calibri"/>
      <family val="2"/>
      <scheme val="minor"/>
    </font>
    <font>
      <sz val="11"/>
      <color theme="1" tint="0.34998626667073579"/>
      <name val="Ariel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  <font>
      <b/>
      <sz val="11"/>
      <color rgb="FFFF0000"/>
      <name val="Arial Narrow"/>
      <family val="2"/>
    </font>
    <font>
      <b/>
      <sz val="15"/>
      <name val="Arial Narrow"/>
      <family val="2"/>
    </font>
    <font>
      <b/>
      <sz val="12"/>
      <color rgb="FFFFFFFF"/>
      <name val="Arial Narrow"/>
      <family val="2"/>
    </font>
    <font>
      <b/>
      <sz val="12"/>
      <color rgb="FF0070C0"/>
      <name val="Arial Narrow"/>
      <family val="2"/>
    </font>
    <font>
      <sz val="12"/>
      <name val="Arial Narrow"/>
      <family val="2"/>
    </font>
    <font>
      <b/>
      <sz val="12"/>
      <color theme="4" tint="-0.249977111117893"/>
      <name val="Arial Narrow"/>
      <family val="2"/>
    </font>
    <font>
      <b/>
      <sz val="10"/>
      <color rgb="FFFFFFFF"/>
      <name val="Arial Narrow"/>
      <family val="2"/>
    </font>
    <font>
      <i/>
      <sz val="12"/>
      <name val="Arial Narrow"/>
      <family val="2"/>
    </font>
    <font>
      <b/>
      <sz val="12"/>
      <name val="Arial Narrow"/>
      <family val="2"/>
    </font>
    <font>
      <b/>
      <vertAlign val="subscript"/>
      <sz val="12"/>
      <color theme="0"/>
      <name val="Arial"/>
      <family val="2"/>
    </font>
    <font>
      <i/>
      <sz val="11"/>
      <name val="Arial"/>
      <family val="2"/>
    </font>
    <font>
      <vertAlign val="subscript"/>
      <sz val="11"/>
      <name val="Arial"/>
      <family val="2"/>
    </font>
    <font>
      <i/>
      <sz val="12"/>
      <color theme="0"/>
      <name val="Arial"/>
      <family val="2"/>
    </font>
    <font>
      <b/>
      <vertAlign val="subscript"/>
      <sz val="11"/>
      <color theme="0"/>
      <name val="Ariel"/>
    </font>
  </fonts>
  <fills count="11">
    <fill>
      <patternFill patternType="none"/>
    </fill>
    <fill>
      <patternFill patternType="gray125"/>
    </fill>
    <fill>
      <patternFill patternType="solid">
        <fgColor rgb="FF1D42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0DEB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6BB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8F8F8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4" fillId="3" borderId="0" xfId="0" applyFont="1" applyFill="1" applyProtection="1">
      <protection locked="0"/>
    </xf>
    <xf numFmtId="0" fontId="10" fillId="0" borderId="0" xfId="0" applyFont="1" applyProtection="1">
      <protection locked="0"/>
    </xf>
    <xf numFmtId="0" fontId="10" fillId="3" borderId="0" xfId="0" applyFont="1" applyFill="1" applyProtection="1">
      <protection locked="0"/>
    </xf>
    <xf numFmtId="0" fontId="12" fillId="0" borderId="0" xfId="0" applyFont="1" applyAlignment="1" applyProtection="1">
      <alignment vertical="center" wrapText="1"/>
      <protection locked="0"/>
    </xf>
    <xf numFmtId="9" fontId="9" fillId="4" borderId="1" xfId="0" applyNumberFormat="1" applyFont="1" applyFill="1" applyBorder="1" applyAlignment="1" applyProtection="1">
      <alignment horizontal="right" vertical="center"/>
      <protection locked="0"/>
    </xf>
    <xf numFmtId="0" fontId="9" fillId="4" borderId="1" xfId="0" applyFont="1" applyFill="1" applyBorder="1" applyAlignment="1" applyProtection="1">
      <alignment horizontal="right" vertical="center"/>
      <protection locked="0"/>
    </xf>
    <xf numFmtId="49" fontId="4" fillId="0" borderId="0" xfId="0" applyNumberFormat="1" applyFont="1" applyProtection="1">
      <protection locked="0"/>
    </xf>
    <xf numFmtId="0" fontId="13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" fontId="8" fillId="0" borderId="0" xfId="0" applyNumberFormat="1" applyFont="1" applyAlignment="1" applyProtection="1">
      <alignment horizontal="center" wrapText="1"/>
      <protection locked="0"/>
    </xf>
    <xf numFmtId="0" fontId="0" fillId="3" borderId="0" xfId="0" applyFill="1" applyProtection="1">
      <protection locked="0"/>
    </xf>
    <xf numFmtId="0" fontId="14" fillId="3" borderId="0" xfId="0" applyFont="1" applyFill="1" applyAlignment="1" applyProtection="1">
      <alignment horizontal="left" vertical="center"/>
      <protection locked="0"/>
    </xf>
    <xf numFmtId="164" fontId="15" fillId="4" borderId="1" xfId="0" applyNumberFormat="1" applyFont="1" applyFill="1" applyBorder="1" applyAlignment="1" applyProtection="1">
      <alignment horizontal="right" vertical="center"/>
      <protection locked="0"/>
    </xf>
    <xf numFmtId="164" fontId="4" fillId="4" borderId="1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left" vertical="center" wrapText="1" indent="3"/>
      <protection locked="0"/>
    </xf>
    <xf numFmtId="164" fontId="8" fillId="5" borderId="1" xfId="0" applyNumberFormat="1" applyFont="1" applyFill="1" applyBorder="1" applyAlignment="1" applyProtection="1">
      <alignment horizontal="right" vertical="center"/>
      <protection locked="0"/>
    </xf>
    <xf numFmtId="9" fontId="8" fillId="5" borderId="1" xfId="0" applyNumberFormat="1" applyFont="1" applyFill="1" applyBorder="1" applyAlignment="1" applyProtection="1">
      <alignment horizontal="right"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164" fontId="9" fillId="5" borderId="1" xfId="0" applyNumberFormat="1" applyFont="1" applyFill="1" applyBorder="1" applyAlignment="1" applyProtection="1">
      <alignment horizontal="right" vertical="center"/>
      <protection locked="0"/>
    </xf>
    <xf numFmtId="164" fontId="4" fillId="4" borderId="1" xfId="0" applyNumberFormat="1" applyFont="1" applyFill="1" applyBorder="1" applyAlignment="1" applyProtection="1">
      <alignment vertical="center"/>
      <protection locked="0"/>
    </xf>
    <xf numFmtId="164" fontId="18" fillId="4" borderId="1" xfId="0" applyNumberFormat="1" applyFont="1" applyFill="1" applyBorder="1" applyAlignment="1" applyProtection="1">
      <alignment horizontal="right" vertical="center"/>
      <protection locked="0"/>
    </xf>
    <xf numFmtId="164" fontId="9" fillId="4" borderId="1" xfId="0" applyNumberFormat="1" applyFont="1" applyFill="1" applyBorder="1" applyAlignment="1" applyProtection="1">
      <alignment horizontal="right" vertical="center"/>
      <protection locked="0"/>
    </xf>
    <xf numFmtId="164" fontId="18" fillId="4" borderId="1" xfId="0" applyNumberFormat="1" applyFont="1" applyFill="1" applyBorder="1" applyAlignment="1" applyProtection="1">
      <alignment vertical="center"/>
      <protection locked="0"/>
    </xf>
    <xf numFmtId="164" fontId="4" fillId="5" borderId="1" xfId="0" applyNumberFormat="1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left" wrapText="1"/>
      <protection locked="0"/>
    </xf>
    <xf numFmtId="0" fontId="9" fillId="3" borderId="0" xfId="0" applyFont="1" applyFill="1" applyAlignment="1" applyProtection="1">
      <alignment horizontal="left" vertical="center" wrapText="1"/>
      <protection locked="0"/>
    </xf>
    <xf numFmtId="164" fontId="15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4" fillId="0" borderId="0" xfId="0" applyFont="1"/>
    <xf numFmtId="0" fontId="0" fillId="3" borderId="0" xfId="0" applyFill="1"/>
    <xf numFmtId="0" fontId="20" fillId="0" borderId="0" xfId="0" applyFont="1"/>
    <xf numFmtId="0" fontId="21" fillId="0" borderId="0" xfId="0" applyFont="1"/>
    <xf numFmtId="0" fontId="20" fillId="0" borderId="0" xfId="0" applyFont="1" applyProtection="1">
      <protection locked="0"/>
    </xf>
    <xf numFmtId="0" fontId="22" fillId="0" borderId="0" xfId="0" applyFont="1" applyAlignment="1">
      <alignment vertical="center" wrapText="1"/>
    </xf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left"/>
    </xf>
    <xf numFmtId="0" fontId="2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6" fillId="0" borderId="0" xfId="0" applyFont="1" applyAlignment="1">
      <alignment horizontal="left" vertical="center" wrapText="1"/>
    </xf>
    <xf numFmtId="0" fontId="15" fillId="0" borderId="0" xfId="0" applyFont="1"/>
    <xf numFmtId="0" fontId="27" fillId="2" borderId="0" xfId="0" applyFont="1" applyFill="1" applyAlignment="1">
      <alignment horizontal="left" vertical="center"/>
    </xf>
    <xf numFmtId="0" fontId="29" fillId="0" borderId="0" xfId="0" applyFont="1" applyAlignment="1">
      <alignment vertical="center" wrapText="1"/>
    </xf>
    <xf numFmtId="0" fontId="27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30" fillId="3" borderId="1" xfId="0" applyFont="1" applyFill="1" applyBorder="1" applyAlignment="1">
      <alignment horizontal="center" vertical="center"/>
    </xf>
    <xf numFmtId="0" fontId="27" fillId="3" borderId="0" xfId="0" applyFont="1" applyFill="1" applyAlignment="1">
      <alignment vertical="center"/>
    </xf>
    <xf numFmtId="0" fontId="31" fillId="0" borderId="0" xfId="0" applyFont="1" applyAlignment="1">
      <alignment vertical="center" wrapText="1"/>
    </xf>
    <xf numFmtId="0" fontId="23" fillId="0" borderId="0" xfId="0" applyFont="1" applyAlignment="1">
      <alignment horizontal="left"/>
    </xf>
    <xf numFmtId="3" fontId="27" fillId="2" borderId="0" xfId="0" applyNumberFormat="1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left" vertical="center"/>
    </xf>
    <xf numFmtId="3" fontId="18" fillId="3" borderId="0" xfId="0" applyNumberFormat="1" applyFont="1" applyFill="1" applyAlignment="1">
      <alignment horizontal="center" vertical="center"/>
    </xf>
    <xf numFmtId="4" fontId="18" fillId="3" borderId="0" xfId="0" applyNumberFormat="1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vertical="center" wrapText="1"/>
    </xf>
    <xf numFmtId="0" fontId="15" fillId="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/>
    <xf numFmtId="0" fontId="33" fillId="0" borderId="0" xfId="0" applyFont="1"/>
    <xf numFmtId="0" fontId="29" fillId="0" borderId="0" xfId="0" applyFont="1" applyAlignment="1">
      <alignment horizontal="left" vertical="center"/>
    </xf>
    <xf numFmtId="49" fontId="0" fillId="0" borderId="0" xfId="0" applyNumberFormat="1"/>
    <xf numFmtId="0" fontId="29" fillId="0" borderId="0" xfId="0" applyFont="1" applyAlignment="1">
      <alignment horizontal="left" vertical="center" wrapText="1"/>
    </xf>
    <xf numFmtId="0" fontId="34" fillId="0" borderId="0" xfId="0" applyFont="1"/>
    <xf numFmtId="0" fontId="35" fillId="0" borderId="0" xfId="0" applyFont="1" applyAlignment="1">
      <alignment horizontal="left"/>
    </xf>
    <xf numFmtId="0" fontId="35" fillId="0" borderId="0" xfId="0" applyFont="1"/>
    <xf numFmtId="165" fontId="35" fillId="0" borderId="0" xfId="0" applyNumberFormat="1" applyFont="1" applyAlignment="1">
      <alignment horizontal="right"/>
    </xf>
    <xf numFmtId="0" fontId="36" fillId="0" borderId="0" xfId="0" applyFont="1" applyAlignment="1">
      <alignment horizontal="left"/>
    </xf>
    <xf numFmtId="165" fontId="37" fillId="0" borderId="0" xfId="0" applyNumberFormat="1" applyFont="1" applyAlignment="1">
      <alignment horizontal="right"/>
    </xf>
    <xf numFmtId="0" fontId="38" fillId="7" borderId="0" xfId="0" applyFont="1" applyFill="1" applyAlignment="1">
      <alignment horizontal="left" vertical="center"/>
    </xf>
    <xf numFmtId="0" fontId="38" fillId="7" borderId="0" xfId="0" applyFont="1" applyFill="1" applyAlignment="1">
      <alignment horizontal="center" vertical="center" wrapText="1"/>
    </xf>
    <xf numFmtId="165" fontId="38" fillId="7" borderId="0" xfId="0" applyNumberFormat="1" applyFont="1" applyFill="1" applyAlignment="1">
      <alignment horizontal="right" vertical="center" wrapText="1"/>
    </xf>
    <xf numFmtId="0" fontId="39" fillId="8" borderId="0" xfId="0" applyFont="1" applyFill="1" applyAlignment="1">
      <alignment horizontal="left" vertical="center"/>
    </xf>
    <xf numFmtId="0" fontId="39" fillId="8" borderId="0" xfId="0" applyFont="1" applyFill="1" applyAlignment="1">
      <alignment horizontal="center" vertical="center" wrapText="1"/>
    </xf>
    <xf numFmtId="165" fontId="39" fillId="8" borderId="0" xfId="0" applyNumberFormat="1" applyFont="1" applyFill="1" applyAlignment="1">
      <alignment horizontal="right" vertical="center" wrapText="1"/>
    </xf>
    <xf numFmtId="0" fontId="40" fillId="9" borderId="0" xfId="0" applyFont="1" applyFill="1" applyAlignment="1">
      <alignment horizontal="left" vertical="center"/>
    </xf>
    <xf numFmtId="0" fontId="40" fillId="9" borderId="0" xfId="0" applyFont="1" applyFill="1" applyAlignment="1">
      <alignment horizontal="center" vertical="center" wrapText="1"/>
    </xf>
    <xf numFmtId="165" fontId="40" fillId="9" borderId="0" xfId="0" applyNumberFormat="1" applyFont="1" applyFill="1" applyAlignment="1">
      <alignment horizontal="right" vertical="center" wrapText="1"/>
    </xf>
    <xf numFmtId="0" fontId="40" fillId="8" borderId="0" xfId="0" applyFont="1" applyFill="1" applyAlignment="1">
      <alignment horizontal="center" vertical="center" wrapText="1"/>
    </xf>
    <xf numFmtId="165" fontId="40" fillId="8" borderId="0" xfId="0" applyNumberFormat="1" applyFont="1" applyFill="1" applyAlignment="1">
      <alignment horizontal="right" vertical="center" wrapText="1"/>
    </xf>
    <xf numFmtId="0" fontId="40" fillId="10" borderId="0" xfId="0" applyFont="1" applyFill="1" applyAlignment="1">
      <alignment horizontal="left" vertical="center"/>
    </xf>
    <xf numFmtId="0" fontId="40" fillId="10" borderId="0" xfId="0" applyFont="1" applyFill="1" applyAlignment="1">
      <alignment horizontal="center" vertical="center" wrapText="1"/>
    </xf>
    <xf numFmtId="165" fontId="40" fillId="10" borderId="0" xfId="0" applyNumberFormat="1" applyFont="1" applyFill="1" applyAlignment="1">
      <alignment horizontal="right" vertical="center" wrapText="1"/>
    </xf>
    <xf numFmtId="0" fontId="41" fillId="10" borderId="0" xfId="0" applyFont="1" applyFill="1" applyAlignment="1">
      <alignment horizontal="left" vertical="center"/>
    </xf>
    <xf numFmtId="0" fontId="41" fillId="10" borderId="0" xfId="0" applyFont="1" applyFill="1" applyAlignment="1">
      <alignment horizontal="center" vertical="center" wrapText="1"/>
    </xf>
    <xf numFmtId="165" fontId="41" fillId="10" borderId="0" xfId="0" applyNumberFormat="1" applyFont="1" applyFill="1" applyAlignment="1">
      <alignment horizontal="right" vertical="center" wrapText="1"/>
    </xf>
    <xf numFmtId="0" fontId="42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center" vertical="center" wrapText="1"/>
    </xf>
    <xf numFmtId="165" fontId="42" fillId="7" borderId="0" xfId="0" applyNumberFormat="1" applyFont="1" applyFill="1" applyAlignment="1">
      <alignment horizontal="right" vertical="center" wrapText="1"/>
    </xf>
    <xf numFmtId="0" fontId="40" fillId="0" borderId="0" xfId="0" applyFont="1" applyAlignment="1">
      <alignment horizontal="left" vertical="center"/>
    </xf>
    <xf numFmtId="165" fontId="40" fillId="0" borderId="0" xfId="0" applyNumberFormat="1" applyFont="1" applyAlignment="1">
      <alignment horizontal="right" vertical="center"/>
    </xf>
    <xf numFmtId="0" fontId="11" fillId="0" borderId="1" xfId="0" applyFont="1" applyBorder="1" applyProtection="1">
      <protection locked="0"/>
    </xf>
    <xf numFmtId="9" fontId="9" fillId="3" borderId="4" xfId="0" applyNumberFormat="1" applyFont="1" applyFill="1" applyBorder="1" applyAlignment="1" applyProtection="1">
      <alignment horizontal="left" vertical="center"/>
      <protection locked="0"/>
    </xf>
    <xf numFmtId="9" fontId="7" fillId="3" borderId="4" xfId="0" applyNumberFormat="1" applyFont="1" applyFill="1" applyBorder="1" applyAlignment="1" applyProtection="1">
      <alignment horizontal="left" vertical="center"/>
      <protection locked="0"/>
    </xf>
    <xf numFmtId="9" fontId="7" fillId="3" borderId="1" xfId="0" applyNumberFormat="1" applyFont="1" applyFill="1" applyBorder="1" applyAlignment="1" applyProtection="1">
      <alignment horizontal="left" vertical="center"/>
      <protection locked="0"/>
    </xf>
    <xf numFmtId="9" fontId="9" fillId="3" borderId="1" xfId="0" applyNumberFormat="1" applyFont="1" applyFill="1" applyBorder="1" applyAlignment="1" applyProtection="1">
      <alignment horizontal="left" vertical="center"/>
      <protection locked="0"/>
    </xf>
    <xf numFmtId="164" fontId="19" fillId="5" borderId="1" xfId="0" applyNumberFormat="1" applyFont="1" applyFill="1" applyBorder="1" applyAlignment="1" applyProtection="1">
      <alignment horizontal="right" vertical="center"/>
      <protection locked="0"/>
    </xf>
    <xf numFmtId="1" fontId="4" fillId="5" borderId="1" xfId="0" applyNumberFormat="1" applyFont="1" applyFill="1" applyBorder="1" applyAlignment="1" applyProtection="1">
      <alignment horizontal="right" vertical="center"/>
      <protection locked="0"/>
    </xf>
    <xf numFmtId="9" fontId="4" fillId="5" borderId="1" xfId="0" applyNumberFormat="1" applyFont="1" applyFill="1" applyBorder="1" applyAlignment="1" applyProtection="1">
      <alignment horizontal="right" vertical="center"/>
      <protection locked="0"/>
    </xf>
    <xf numFmtId="9" fontId="4" fillId="6" borderId="1" xfId="0" applyNumberFormat="1" applyFont="1" applyFill="1" applyBorder="1" applyAlignment="1" applyProtection="1">
      <alignment horizontal="right" vertical="center"/>
      <protection locked="0"/>
    </xf>
    <xf numFmtId="0" fontId="18" fillId="3" borderId="1" xfId="0" applyFont="1" applyFill="1" applyBorder="1" applyAlignment="1">
      <alignment horizontal="left" vertical="center"/>
    </xf>
    <xf numFmtId="3" fontId="18" fillId="3" borderId="1" xfId="0" applyNumberFormat="1" applyFont="1" applyFill="1" applyBorder="1" applyAlignment="1">
      <alignment horizontal="center" vertical="center"/>
    </xf>
    <xf numFmtId="4" fontId="18" fillId="3" borderId="1" xfId="0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0" fontId="9" fillId="3" borderId="0" xfId="0" applyFont="1" applyFill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14" fillId="2" borderId="0" xfId="0" applyFont="1" applyFill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left" wrapText="1"/>
      <protection locked="0"/>
    </xf>
    <xf numFmtId="0" fontId="9" fillId="0" borderId="0" xfId="0" applyFont="1" applyAlignment="1" applyProtection="1">
      <alignment horizontal="left" vertical="center" wrapText="1" indent="4"/>
      <protection locked="0"/>
    </xf>
    <xf numFmtId="0" fontId="9" fillId="0" borderId="0" xfId="0" applyFont="1" applyAlignment="1" applyProtection="1">
      <alignment horizontal="left" vertical="center" wrapText="1" indent="3"/>
      <protection locked="0"/>
    </xf>
    <xf numFmtId="0" fontId="9" fillId="0" borderId="0" xfId="0" applyFont="1" applyAlignment="1" applyProtection="1">
      <alignment horizontal="left" vertical="center" wrapText="1" indent="2"/>
      <protection locked="0"/>
    </xf>
    <xf numFmtId="9" fontId="9" fillId="0" borderId="5" xfId="0" applyNumberFormat="1" applyFont="1" applyBorder="1" applyProtection="1">
      <protection locked="0"/>
    </xf>
    <xf numFmtId="9" fontId="9" fillId="0" borderId="2" xfId="0" applyNumberFormat="1" applyFont="1" applyBorder="1" applyProtection="1">
      <protection locked="0"/>
    </xf>
    <xf numFmtId="9" fontId="9" fillId="0" borderId="3" xfId="0" applyNumberFormat="1" applyFont="1" applyBorder="1" applyProtection="1">
      <protection locked="0"/>
    </xf>
    <xf numFmtId="9" fontId="9" fillId="4" borderId="5" xfId="0" applyNumberFormat="1" applyFont="1" applyFill="1" applyBorder="1" applyAlignment="1" applyProtection="1">
      <alignment horizontal="left" vertical="center"/>
      <protection locked="0"/>
    </xf>
    <xf numFmtId="0" fontId="9" fillId="4" borderId="2" xfId="0" applyFont="1" applyFill="1" applyBorder="1" applyAlignment="1" applyProtection="1">
      <alignment horizontal="left" vertical="center"/>
      <protection locked="0"/>
    </xf>
    <xf numFmtId="0" fontId="9" fillId="4" borderId="3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4" borderId="1" xfId="0" applyFont="1" applyFill="1" applyBorder="1" applyAlignment="1" applyProtection="1">
      <alignment horizontal="left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11" fillId="4" borderId="3" xfId="0" applyFont="1" applyFill="1" applyBorder="1" applyAlignment="1" applyProtection="1">
      <alignment horizontal="left"/>
      <protection locked="0"/>
    </xf>
    <xf numFmtId="49" fontId="9" fillId="4" borderId="1" xfId="0" applyNumberFormat="1" applyFont="1" applyFill="1" applyBorder="1" applyAlignment="1" applyProtection="1">
      <alignment horizontal="left" vertical="center"/>
      <protection locked="0"/>
    </xf>
    <xf numFmtId="49" fontId="9" fillId="4" borderId="2" xfId="0" applyNumberFormat="1" applyFont="1" applyFill="1" applyBorder="1" applyAlignment="1" applyProtection="1">
      <alignment horizontal="left" vertical="center"/>
      <protection locked="0"/>
    </xf>
    <xf numFmtId="49" fontId="9" fillId="4" borderId="3" xfId="0" applyNumberFormat="1" applyFont="1" applyFill="1" applyBorder="1" applyAlignment="1" applyProtection="1">
      <alignment horizontal="left" vertical="center"/>
      <protection locked="0"/>
    </xf>
    <xf numFmtId="0" fontId="9" fillId="4" borderId="1" xfId="0" applyFont="1" applyFill="1" applyBorder="1" applyAlignment="1" applyProtection="1">
      <alignment horizontal="left" vertical="center"/>
      <protection locked="0"/>
    </xf>
    <xf numFmtId="0" fontId="18" fillId="3" borderId="1" xfId="0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37" fillId="0" borderId="0" xfId="0" applyFont="1" applyAlignment="1">
      <alignment horizontal="center"/>
    </xf>
    <xf numFmtId="0" fontId="4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foliomanager.energystar.gov/pdf/reference/Source%20Energy.pdf?_gl=1*1o0eqyp*_ga*MTIyNTM0MTk3MC4xNjY1NTA5Mjgx*_ga_S0KJTVVLQ6*MTY4MzIxOTY1OS4xMi4xLjE2ODMyMTk2NzAuMC4wLjA." TargetMode="External"/><Relationship Id="rId2" Type="http://schemas.openxmlformats.org/officeDocument/2006/relationships/hyperlink" Target="https://www.eia.gov/environment/emissions/co2_vol_mass.php" TargetMode="External"/><Relationship Id="rId1" Type="http://schemas.openxmlformats.org/officeDocument/2006/relationships/hyperlink" Target="https://www.energystar.gov/sites/default/files/tools/Building_Emissions_Calculator_Tech_Reference_Final_0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ergystar.gov/buildings/tools-and-resources/historical_greenhouse_gas_factors_2000_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73"/>
  <sheetViews>
    <sheetView showGridLines="0" tabSelected="1" topLeftCell="A54" zoomScale="90" zoomScaleNormal="90" workbookViewId="0">
      <selection activeCell="E99" sqref="E99"/>
    </sheetView>
  </sheetViews>
  <sheetFormatPr defaultColWidth="9.33203125" defaultRowHeight="14.4"/>
  <cols>
    <col min="1" max="1" width="2.77734375" style="1" customWidth="1"/>
    <col min="2" max="2" width="9.33203125" style="1" customWidth="1"/>
    <col min="3" max="3" width="65.6640625" style="1" customWidth="1"/>
    <col min="4" max="4" width="15.33203125" style="1" customWidth="1"/>
    <col min="5" max="5" width="16.33203125" style="1" customWidth="1"/>
    <col min="6" max="6" width="15.77734375" style="1" customWidth="1"/>
    <col min="7" max="7" width="15.6640625" style="1" customWidth="1"/>
    <col min="8" max="17" width="12.6640625" style="1" customWidth="1"/>
    <col min="18" max="18" width="10.44140625" style="1" customWidth="1"/>
    <col min="19" max="19" width="17.77734375" style="1" customWidth="1"/>
    <col min="20" max="20" width="9.33203125" style="1" customWidth="1"/>
    <col min="21" max="16384" width="9.33203125" style="1"/>
  </cols>
  <sheetData>
    <row r="1" spans="1:35" ht="36" customHeight="1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15" customHeight="1">
      <c r="A2" s="2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s="12" customFormat="1" ht="16.5" customHeight="1">
      <c r="B3" s="109" t="s">
        <v>1</v>
      </c>
      <c r="C3" s="109"/>
      <c r="D3" s="140"/>
      <c r="E3" s="141"/>
      <c r="F3" s="141"/>
      <c r="G3" s="141"/>
      <c r="H3" s="141"/>
      <c r="I3" s="141"/>
      <c r="J3" s="141"/>
      <c r="K3" s="141"/>
      <c r="L3" s="141"/>
      <c r="M3" s="142"/>
      <c r="Q3" s="13"/>
      <c r="R3" s="14"/>
    </row>
    <row r="4" spans="1:35" ht="13.5" customHeight="1">
      <c r="A4" s="6"/>
      <c r="B4" s="6"/>
      <c r="C4" s="6"/>
      <c r="D4" s="6"/>
      <c r="E4" s="6"/>
      <c r="F4" s="6"/>
      <c r="G4" s="6"/>
      <c r="H4" s="6"/>
      <c r="I4" s="11"/>
      <c r="J4" s="6"/>
      <c r="K4" s="6"/>
      <c r="L4" s="6"/>
      <c r="M4" s="6"/>
      <c r="N4" s="6"/>
      <c r="O4" s="6"/>
      <c r="P4" s="6"/>
      <c r="Q4" s="11"/>
      <c r="R4" s="10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8" customHeight="1">
      <c r="A5" s="6"/>
      <c r="B5" s="113" t="s">
        <v>2</v>
      </c>
      <c r="C5" s="112"/>
      <c r="D5" s="15"/>
      <c r="E5" s="6"/>
      <c r="F5" s="133" t="s">
        <v>3</v>
      </c>
      <c r="G5" s="134"/>
      <c r="H5" s="134"/>
      <c r="I5" s="135"/>
      <c r="J5" s="143"/>
      <c r="K5" s="144"/>
      <c r="L5" s="144"/>
      <c r="M5" s="145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ht="18" customHeight="1">
      <c r="A6" s="6"/>
      <c r="B6" s="113" t="s">
        <v>5</v>
      </c>
      <c r="C6" s="112"/>
      <c r="D6" s="16"/>
      <c r="E6" s="6"/>
      <c r="F6" s="133" t="s">
        <v>6</v>
      </c>
      <c r="G6" s="134"/>
      <c r="H6" s="134"/>
      <c r="I6" s="135"/>
      <c r="J6" s="146"/>
      <c r="K6" s="137"/>
      <c r="L6" s="137"/>
      <c r="M6" s="138"/>
      <c r="N6" s="6"/>
      <c r="O6" s="17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18" customHeight="1">
      <c r="A7" s="6"/>
      <c r="B7" s="110" t="s">
        <v>8</v>
      </c>
      <c r="C7" s="111"/>
      <c r="D7" s="16"/>
      <c r="E7" s="6"/>
      <c r="F7" s="133" t="s">
        <v>9</v>
      </c>
      <c r="G7" s="134"/>
      <c r="H7" s="134"/>
      <c r="I7" s="135"/>
      <c r="J7" s="136"/>
      <c r="K7" s="137"/>
      <c r="L7" s="137"/>
      <c r="M7" s="138"/>
      <c r="N7" s="6"/>
      <c r="O7" s="6"/>
      <c r="P7" s="6"/>
      <c r="Q7" s="6"/>
      <c r="R7" s="18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s="19" customFormat="1" ht="30" customHeight="1">
      <c r="A8" s="20"/>
      <c r="B8" s="20"/>
      <c r="C8" s="9"/>
      <c r="D8" s="21" t="str">
        <f>IF($D$6=0, "Select Base Year",$D$6)</f>
        <v>Select Base Year</v>
      </c>
      <c r="E8" s="21" t="str">
        <f t="shared" ref="E8:Q8" si="0">IF($D$8="Select Base Year","",D8+1)</f>
        <v/>
      </c>
      <c r="F8" s="21" t="str">
        <f t="shared" si="0"/>
        <v/>
      </c>
      <c r="G8" s="21" t="str">
        <f t="shared" si="0"/>
        <v/>
      </c>
      <c r="H8" s="21" t="str">
        <f t="shared" si="0"/>
        <v/>
      </c>
      <c r="I8" s="21" t="str">
        <f t="shared" si="0"/>
        <v/>
      </c>
      <c r="J8" s="21" t="str">
        <f t="shared" si="0"/>
        <v/>
      </c>
      <c r="K8" s="21" t="str">
        <f t="shared" si="0"/>
        <v/>
      </c>
      <c r="L8" s="21" t="str">
        <f t="shared" si="0"/>
        <v/>
      </c>
      <c r="M8" s="21" t="str">
        <f t="shared" si="0"/>
        <v/>
      </c>
      <c r="N8" s="21" t="str">
        <f t="shared" si="0"/>
        <v/>
      </c>
      <c r="O8" s="21" t="str">
        <f t="shared" si="0"/>
        <v/>
      </c>
      <c r="P8" s="21" t="str">
        <f t="shared" si="0"/>
        <v/>
      </c>
      <c r="Q8" s="21" t="str">
        <f t="shared" si="0"/>
        <v/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</row>
    <row r="9" spans="1:35" ht="6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 ht="17.7" customHeight="1">
      <c r="A10" s="6"/>
      <c r="B10" s="127" t="s">
        <v>10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s="22" customFormat="1" ht="9.75" customHeight="1">
      <c r="A11" s="11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 spans="1:35" s="19" customFormat="1" ht="22.2" customHeight="1">
      <c r="A12" s="20"/>
      <c r="B12" s="139" t="s">
        <v>11</v>
      </c>
      <c r="C12" s="139"/>
      <c r="D12" s="24"/>
      <c r="E12" s="24"/>
      <c r="F12" s="24"/>
      <c r="G12" s="24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s="19" customFormat="1" ht="22.2" customHeight="1">
      <c r="A13" s="20"/>
      <c r="B13" s="139" t="s">
        <v>12</v>
      </c>
      <c r="C13" s="139"/>
      <c r="D13" s="24"/>
      <c r="E13" s="24"/>
      <c r="F13" s="24"/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</row>
    <row r="14" spans="1:35" s="22" customFormat="1" ht="9.75" customHeight="1">
      <c r="A14" s="11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7.7" customHeight="1">
      <c r="A15" s="6"/>
      <c r="B15" s="127" t="s">
        <v>13</v>
      </c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s="22" customFormat="1" ht="9.75" customHeight="1">
      <c r="A16" s="11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22.2" customHeight="1">
      <c r="A17" s="6"/>
      <c r="B17" s="128" t="s">
        <v>14</v>
      </c>
      <c r="C17" s="128"/>
      <c r="D17" s="24"/>
      <c r="E17" s="24"/>
      <c r="F17" s="24"/>
      <c r="G17" s="24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6"/>
      <c r="S17" s="6"/>
      <c r="T17" s="128"/>
      <c r="U17" s="12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ht="22.2" customHeight="1">
      <c r="A18" s="6"/>
      <c r="B18" s="132" t="s">
        <v>15</v>
      </c>
      <c r="C18" s="132"/>
      <c r="D18" s="24"/>
      <c r="E18" s="24"/>
      <c r="F18" s="24"/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6"/>
      <c r="S18" s="6"/>
      <c r="T18" s="131"/>
      <c r="U18" s="131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22.2" customHeight="1">
      <c r="A19" s="6"/>
      <c r="B19" s="132" t="s">
        <v>16</v>
      </c>
      <c r="C19" s="132"/>
      <c r="D19" s="24"/>
      <c r="E19" s="24"/>
      <c r="F19" s="24"/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6"/>
      <c r="S19" s="6"/>
      <c r="T19" s="131"/>
      <c r="U19" s="131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22.2" customHeight="1">
      <c r="A20" s="6"/>
      <c r="B20" s="132" t="s">
        <v>17</v>
      </c>
      <c r="C20" s="132"/>
      <c r="D20" s="24"/>
      <c r="E20" s="24"/>
      <c r="F20" s="24"/>
      <c r="G20" s="24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6"/>
      <c r="S20" s="6"/>
      <c r="T20" s="131"/>
      <c r="U20" s="131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22.2" customHeight="1">
      <c r="A21" s="6"/>
      <c r="B21" s="132" t="s">
        <v>18</v>
      </c>
      <c r="C21" s="132"/>
      <c r="D21" s="24"/>
      <c r="E21" s="24"/>
      <c r="F21" s="24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6"/>
      <c r="S21" s="6"/>
      <c r="T21" s="27"/>
      <c r="U21" s="2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22.2" customHeight="1">
      <c r="A22" s="6"/>
      <c r="B22" s="128" t="s">
        <v>19</v>
      </c>
      <c r="C22" s="128"/>
      <c r="D22" s="24"/>
      <c r="E22" s="24"/>
      <c r="F22" s="24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6"/>
      <c r="S22" s="6"/>
      <c r="T22" s="128"/>
      <c r="U22" s="12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22.2" customHeight="1">
      <c r="A23" s="6"/>
      <c r="B23" s="128" t="s">
        <v>20</v>
      </c>
      <c r="C23" s="128"/>
      <c r="D23" s="24"/>
      <c r="E23" s="24"/>
      <c r="F23" s="24"/>
      <c r="G23" s="24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6"/>
      <c r="S23" s="6"/>
      <c r="T23" s="128"/>
      <c r="U23" s="12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22.2" customHeight="1">
      <c r="A24" s="6"/>
      <c r="B24" s="128" t="s">
        <v>21</v>
      </c>
      <c r="C24" s="128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6"/>
      <c r="S24" s="6"/>
      <c r="T24" s="26"/>
      <c r="U24" s="2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22.2" customHeight="1">
      <c r="A25" s="6"/>
      <c r="B25" s="128" t="s">
        <v>22</v>
      </c>
      <c r="C25" s="128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6"/>
      <c r="S25" s="6"/>
      <c r="T25" s="26"/>
      <c r="U25" s="2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ht="22.2" customHeight="1">
      <c r="A26" s="6"/>
      <c r="B26" s="128" t="s">
        <v>23</v>
      </c>
      <c r="C26" s="128"/>
      <c r="D26" s="28">
        <f>IFERROR(IF($J$6="Market-Based GHG Goal",SUM(D17,D23,D25),SUM(D17,D22,D24)), "")</f>
        <v>0</v>
      </c>
      <c r="E26" s="28">
        <f t="shared" ref="E26:Q26" si="1">IFERROR(IF($J$6="Market-Based GHG Goal",SUM(E17,E23,E25),SUM(E17,E22,E24)), "")</f>
        <v>0</v>
      </c>
      <c r="F26" s="28">
        <f t="shared" si="1"/>
        <v>0</v>
      </c>
      <c r="G26" s="28">
        <f t="shared" si="1"/>
        <v>0</v>
      </c>
      <c r="H26" s="28">
        <f t="shared" si="1"/>
        <v>0</v>
      </c>
      <c r="I26" s="28">
        <f t="shared" si="1"/>
        <v>0</v>
      </c>
      <c r="J26" s="28">
        <f t="shared" si="1"/>
        <v>0</v>
      </c>
      <c r="K26" s="28">
        <f t="shared" si="1"/>
        <v>0</v>
      </c>
      <c r="L26" s="28">
        <f t="shared" si="1"/>
        <v>0</v>
      </c>
      <c r="M26" s="28">
        <f t="shared" si="1"/>
        <v>0</v>
      </c>
      <c r="N26" s="28">
        <f t="shared" si="1"/>
        <v>0</v>
      </c>
      <c r="O26" s="28">
        <f t="shared" si="1"/>
        <v>0</v>
      </c>
      <c r="P26" s="28">
        <f t="shared" si="1"/>
        <v>0</v>
      </c>
      <c r="Q26" s="28">
        <f t="shared" si="1"/>
        <v>0</v>
      </c>
      <c r="R26" s="6"/>
      <c r="S26" s="6"/>
      <c r="T26" s="128"/>
      <c r="U26" s="12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ht="22.2" customHeight="1">
      <c r="A27" s="6"/>
      <c r="B27" s="128" t="s">
        <v>24</v>
      </c>
      <c r="C27" s="128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6"/>
      <c r="S27" s="6"/>
      <c r="T27" s="26"/>
      <c r="U27" s="2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s="22" customFormat="1" ht="9.75" customHeight="1">
      <c r="A28" s="1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7.7" customHeight="1">
      <c r="A29" s="6"/>
      <c r="B29" s="127" t="s">
        <v>25</v>
      </c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s="22" customFormat="1" ht="9.75" customHeight="1">
      <c r="A30" s="1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22.2" customHeight="1">
      <c r="A31" s="6"/>
      <c r="B31" s="123" t="s">
        <v>26</v>
      </c>
      <c r="C31" s="123"/>
      <c r="D31" s="28" t="str">
        <f>IF(D26&lt;&gt;0,($D$26-D26), "")</f>
        <v/>
      </c>
      <c r="E31" s="28" t="str">
        <f>IF(E26&lt;&gt;0,($D$26-E26), "")</f>
        <v/>
      </c>
      <c r="F31" s="28" t="str">
        <f t="shared" ref="F31:Q31" si="2">IF(F26&lt;&gt;0,($D$26-F26), "")</f>
        <v/>
      </c>
      <c r="G31" s="28" t="str">
        <f t="shared" si="2"/>
        <v/>
      </c>
      <c r="H31" s="28" t="str">
        <f t="shared" si="2"/>
        <v/>
      </c>
      <c r="I31" s="28" t="str">
        <f t="shared" si="2"/>
        <v/>
      </c>
      <c r="J31" s="28" t="str">
        <f t="shared" si="2"/>
        <v/>
      </c>
      <c r="K31" s="28" t="str">
        <f t="shared" si="2"/>
        <v/>
      </c>
      <c r="L31" s="28" t="str">
        <f t="shared" si="2"/>
        <v/>
      </c>
      <c r="M31" s="28" t="str">
        <f t="shared" si="2"/>
        <v/>
      </c>
      <c r="N31" s="28" t="str">
        <f t="shared" si="2"/>
        <v/>
      </c>
      <c r="O31" s="28" t="str">
        <f t="shared" si="2"/>
        <v/>
      </c>
      <c r="P31" s="28" t="str">
        <f t="shared" si="2"/>
        <v/>
      </c>
      <c r="Q31" s="28" t="str">
        <f t="shared" si="2"/>
        <v/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ht="22.2" customHeight="1">
      <c r="A32" s="6"/>
      <c r="B32" s="123" t="s">
        <v>27</v>
      </c>
      <c r="C32" s="123"/>
      <c r="D32" s="29" t="str">
        <f>IF(D26&lt;&gt;0,D31/$D$26, "")</f>
        <v/>
      </c>
      <c r="E32" s="29" t="str">
        <f>IF(E26&lt;&gt;0,E31/$D$26, "")</f>
        <v/>
      </c>
      <c r="F32" s="29" t="str">
        <f t="shared" ref="F32:Q32" si="3">IF(F26&lt;&gt;0,F31/$D$26, "")</f>
        <v/>
      </c>
      <c r="G32" s="29" t="str">
        <f t="shared" si="3"/>
        <v/>
      </c>
      <c r="H32" s="29" t="str">
        <f t="shared" si="3"/>
        <v/>
      </c>
      <c r="I32" s="29" t="str">
        <f t="shared" si="3"/>
        <v/>
      </c>
      <c r="J32" s="29" t="str">
        <f t="shared" si="3"/>
        <v/>
      </c>
      <c r="K32" s="29" t="str">
        <f t="shared" si="3"/>
        <v/>
      </c>
      <c r="L32" s="29" t="str">
        <f t="shared" si="3"/>
        <v/>
      </c>
      <c r="M32" s="29" t="str">
        <f t="shared" si="3"/>
        <v/>
      </c>
      <c r="N32" s="29" t="str">
        <f t="shared" si="3"/>
        <v/>
      </c>
      <c r="O32" s="29" t="str">
        <f t="shared" si="3"/>
        <v/>
      </c>
      <c r="P32" s="29" t="str">
        <f t="shared" si="3"/>
        <v/>
      </c>
      <c r="Q32" s="29" t="str">
        <f t="shared" si="3"/>
        <v/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s="22" customFormat="1" ht="9.75" customHeight="1">
      <c r="A33" s="11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7.7" customHeight="1">
      <c r="A34" s="6"/>
      <c r="B34" s="127" t="s">
        <v>28</v>
      </c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 s="22" customFormat="1" ht="9.75" customHeight="1">
      <c r="A35" s="11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s="30" customFormat="1" ht="22.2" customHeight="1">
      <c r="A36" s="31"/>
      <c r="B36" s="123" t="s">
        <v>29</v>
      </c>
      <c r="C36" s="123"/>
      <c r="D36" s="32">
        <f>IF(D38&lt;&gt;0, SUM(D37:D38), 0)</f>
        <v>0</v>
      </c>
      <c r="E36" s="32">
        <f>IF(E38&lt;&gt;0, SUM(E37:E38), 0)</f>
        <v>0</v>
      </c>
      <c r="F36" s="32">
        <f>IF(F38&lt;&gt;0, SUM(F37:F38), 0)</f>
        <v>0</v>
      </c>
      <c r="G36" s="32">
        <f t="shared" ref="G36:Q36" si="4">IF(G38&lt;&gt;0, SUM(G37:G38), 0)</f>
        <v>0</v>
      </c>
      <c r="H36" s="32">
        <f t="shared" si="4"/>
        <v>0</v>
      </c>
      <c r="I36" s="32">
        <f t="shared" si="4"/>
        <v>0</v>
      </c>
      <c r="J36" s="32">
        <f t="shared" si="4"/>
        <v>0</v>
      </c>
      <c r="K36" s="32">
        <f t="shared" si="4"/>
        <v>0</v>
      </c>
      <c r="L36" s="32">
        <f t="shared" si="4"/>
        <v>0</v>
      </c>
      <c r="M36" s="32">
        <f t="shared" si="4"/>
        <v>0</v>
      </c>
      <c r="N36" s="32">
        <f t="shared" si="4"/>
        <v>0</v>
      </c>
      <c r="O36" s="32">
        <f t="shared" si="4"/>
        <v>0</v>
      </c>
      <c r="P36" s="32">
        <f t="shared" si="4"/>
        <v>0</v>
      </c>
      <c r="Q36" s="32">
        <f t="shared" si="4"/>
        <v>0</v>
      </c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</row>
    <row r="37" spans="1:35" ht="22.2" customHeight="1">
      <c r="A37" s="6"/>
      <c r="B37" s="132" t="s">
        <v>30</v>
      </c>
      <c r="C37" s="132"/>
      <c r="D37" s="24"/>
      <c r="E37" s="24"/>
      <c r="F37" s="24"/>
      <c r="G37" s="24"/>
      <c r="H37" s="33"/>
      <c r="I37" s="33"/>
      <c r="J37" s="33"/>
      <c r="K37" s="33"/>
      <c r="L37" s="33"/>
      <c r="M37" s="25"/>
      <c r="N37" s="33"/>
      <c r="O37" s="33"/>
      <c r="P37" s="33"/>
      <c r="Q37" s="33"/>
      <c r="S37" s="131"/>
      <c r="T37" s="131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ht="22.2" customHeight="1">
      <c r="A38" s="6"/>
      <c r="B38" s="132" t="s">
        <v>31</v>
      </c>
      <c r="C38" s="132"/>
      <c r="D38" s="34"/>
      <c r="E38" s="34"/>
      <c r="F38" s="34"/>
      <c r="G38" s="34"/>
      <c r="H38" s="35"/>
      <c r="I38" s="35"/>
      <c r="J38" s="35"/>
      <c r="K38" s="35"/>
      <c r="L38" s="35"/>
      <c r="M38" s="35"/>
      <c r="N38" s="35"/>
      <c r="O38" s="35"/>
      <c r="P38" s="35"/>
      <c r="Q38" s="35"/>
      <c r="S38" s="131"/>
      <c r="T38" s="131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ht="22.2" customHeight="1">
      <c r="A39" s="6"/>
      <c r="B39" s="130" t="s">
        <v>32</v>
      </c>
      <c r="C39" s="130"/>
      <c r="D39" s="34"/>
      <c r="E39" s="34"/>
      <c r="F39" s="34"/>
      <c r="G39" s="34"/>
      <c r="H39" s="33"/>
      <c r="I39" s="33"/>
      <c r="J39" s="33"/>
      <c r="K39" s="33"/>
      <c r="L39" s="33"/>
      <c r="M39" s="25"/>
      <c r="N39" s="33"/>
      <c r="O39" s="33"/>
      <c r="P39" s="33"/>
      <c r="Q39" s="33"/>
      <c r="S39" s="27"/>
      <c r="T39" s="27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ht="22.2" customHeight="1">
      <c r="A40" s="6"/>
      <c r="B40" s="130" t="s">
        <v>33</v>
      </c>
      <c r="C40" s="130"/>
      <c r="D40" s="34"/>
      <c r="E40" s="34"/>
      <c r="F40" s="34"/>
      <c r="G40" s="34"/>
      <c r="H40" s="33"/>
      <c r="I40" s="33"/>
      <c r="J40" s="33"/>
      <c r="K40" s="33"/>
      <c r="L40" s="33"/>
      <c r="M40" s="25"/>
      <c r="N40" s="33"/>
      <c r="O40" s="33"/>
      <c r="P40" s="33"/>
      <c r="Q40" s="33"/>
      <c r="S40" s="27"/>
      <c r="T40" s="27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 ht="22.2" customHeight="1">
      <c r="A41" s="6"/>
      <c r="B41" s="130" t="s">
        <v>34</v>
      </c>
      <c r="C41" s="130"/>
      <c r="D41" s="36"/>
      <c r="E41" s="36"/>
      <c r="F41" s="36"/>
      <c r="G41" s="36"/>
      <c r="H41" s="33"/>
      <c r="I41" s="33"/>
      <c r="J41" s="33"/>
      <c r="K41" s="33"/>
      <c r="L41" s="33"/>
      <c r="M41" s="33"/>
      <c r="N41" s="33"/>
      <c r="O41" s="33"/>
      <c r="P41" s="33"/>
      <c r="Q41" s="33"/>
      <c r="S41" s="131"/>
      <c r="T41" s="131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ht="22.2" customHeight="1">
      <c r="A42" s="6"/>
      <c r="B42" s="130" t="s">
        <v>35</v>
      </c>
      <c r="C42" s="130"/>
      <c r="D42" s="37">
        <f>D38-SUM(D39:D41)</f>
        <v>0</v>
      </c>
      <c r="E42" s="37">
        <f>E38-SUM(E39:E41)</f>
        <v>0</v>
      </c>
      <c r="F42" s="37">
        <f>F38-SUM(F39:F41)</f>
        <v>0</v>
      </c>
      <c r="G42" s="37">
        <f>G38-SUM(G39:G41)</f>
        <v>0</v>
      </c>
      <c r="H42" s="37">
        <f t="shared" ref="H42:Q42" si="5">H38-SUM(H39:H41)</f>
        <v>0</v>
      </c>
      <c r="I42" s="37">
        <f t="shared" si="5"/>
        <v>0</v>
      </c>
      <c r="J42" s="37">
        <f t="shared" si="5"/>
        <v>0</v>
      </c>
      <c r="K42" s="37">
        <f t="shared" si="5"/>
        <v>0</v>
      </c>
      <c r="L42" s="37">
        <f t="shared" si="5"/>
        <v>0</v>
      </c>
      <c r="M42" s="37">
        <f t="shared" si="5"/>
        <v>0</v>
      </c>
      <c r="N42" s="37">
        <f t="shared" si="5"/>
        <v>0</v>
      </c>
      <c r="O42" s="37">
        <f t="shared" si="5"/>
        <v>0</v>
      </c>
      <c r="P42" s="37">
        <f t="shared" si="5"/>
        <v>0</v>
      </c>
      <c r="Q42" s="37">
        <f t="shared" si="5"/>
        <v>0</v>
      </c>
      <c r="S42" s="27"/>
      <c r="T42" s="27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22.2" customHeight="1">
      <c r="A43" s="6"/>
      <c r="B43" s="123" t="s">
        <v>36</v>
      </c>
      <c r="C43" s="123"/>
      <c r="D43" s="24"/>
      <c r="E43" s="24"/>
      <c r="F43" s="24"/>
      <c r="G43" s="24"/>
      <c r="H43" s="33"/>
      <c r="I43" s="33"/>
      <c r="J43" s="33"/>
      <c r="K43" s="33"/>
      <c r="L43" s="33"/>
      <c r="M43" s="33"/>
      <c r="N43" s="33"/>
      <c r="O43" s="33"/>
      <c r="P43" s="33"/>
      <c r="Q43" s="33"/>
      <c r="S43" s="128"/>
      <c r="T43" s="128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22.2" customHeight="1">
      <c r="A44" s="6"/>
      <c r="B44" s="123" t="s">
        <v>37</v>
      </c>
      <c r="C44" s="123"/>
      <c r="D44" s="24"/>
      <c r="E44" s="24"/>
      <c r="F44" s="24"/>
      <c r="G44" s="24"/>
      <c r="H44" s="33"/>
      <c r="I44" s="33"/>
      <c r="J44" s="33"/>
      <c r="K44" s="33"/>
      <c r="L44" s="33"/>
      <c r="M44" s="33"/>
      <c r="N44" s="33"/>
      <c r="O44" s="33"/>
      <c r="P44" s="33"/>
      <c r="Q44" s="33"/>
      <c r="S44" s="26"/>
      <c r="T44" s="2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22.2" customHeight="1">
      <c r="A45" s="6"/>
      <c r="B45" s="123" t="s">
        <v>38</v>
      </c>
      <c r="C45" s="123"/>
      <c r="D45" s="24"/>
      <c r="E45" s="24"/>
      <c r="F45" s="24"/>
      <c r="G45" s="24"/>
      <c r="H45" s="33"/>
      <c r="I45" s="33"/>
      <c r="J45" s="33"/>
      <c r="K45" s="33"/>
      <c r="L45" s="33"/>
      <c r="M45" s="33"/>
      <c r="N45" s="33"/>
      <c r="O45" s="33"/>
      <c r="P45" s="33"/>
      <c r="Q45" s="33"/>
      <c r="S45" s="26"/>
      <c r="T45" s="2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22.2" customHeight="1">
      <c r="A46" s="6"/>
      <c r="B46" s="128" t="s">
        <v>39</v>
      </c>
      <c r="C46" s="128"/>
      <c r="D46" s="24"/>
      <c r="E46" s="24"/>
      <c r="F46" s="24"/>
      <c r="G46" s="34"/>
      <c r="H46" s="33"/>
      <c r="I46" s="33"/>
      <c r="J46" s="33"/>
      <c r="K46" s="33"/>
      <c r="L46" s="33"/>
      <c r="M46" s="33"/>
      <c r="N46" s="33"/>
      <c r="O46" s="33"/>
      <c r="P46" s="33"/>
      <c r="Q46" s="33"/>
      <c r="S46" s="129"/>
      <c r="T46" s="129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22.2" customHeight="1">
      <c r="A47" s="6"/>
      <c r="B47" s="125" t="s">
        <v>40</v>
      </c>
      <c r="C47" s="125"/>
      <c r="D47" s="24"/>
      <c r="E47" s="24"/>
      <c r="F47" s="24"/>
      <c r="G47" s="24"/>
      <c r="H47" s="33"/>
      <c r="I47" s="33"/>
      <c r="J47" s="33"/>
      <c r="K47" s="33"/>
      <c r="L47" s="33"/>
      <c r="M47" s="33"/>
      <c r="N47" s="33"/>
      <c r="O47" s="33"/>
      <c r="P47" s="33"/>
      <c r="Q47" s="33"/>
      <c r="S47" s="38"/>
      <c r="T47" s="38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22.2" customHeight="1">
      <c r="A48" s="6"/>
      <c r="B48" s="125" t="s">
        <v>41</v>
      </c>
      <c r="C48" s="125"/>
      <c r="D48" s="24"/>
      <c r="E48" s="24"/>
      <c r="F48" s="24"/>
      <c r="G48" s="24"/>
      <c r="H48" s="33"/>
      <c r="I48" s="33"/>
      <c r="J48" s="33"/>
      <c r="K48" s="33"/>
      <c r="L48" s="33"/>
      <c r="M48" s="33"/>
      <c r="N48" s="33"/>
      <c r="O48" s="33"/>
      <c r="P48" s="33"/>
      <c r="Q48" s="33"/>
      <c r="S48" s="38"/>
      <c r="T48" s="38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22.2" customHeight="1">
      <c r="A49" s="6"/>
      <c r="B49" s="125" t="s">
        <v>42</v>
      </c>
      <c r="C49" s="125"/>
      <c r="D49" s="24"/>
      <c r="E49" s="24"/>
      <c r="F49" s="24"/>
      <c r="G49" s="24"/>
      <c r="H49" s="33"/>
      <c r="I49" s="33"/>
      <c r="J49" s="33"/>
      <c r="K49" s="33"/>
      <c r="L49" s="33"/>
      <c r="M49" s="33"/>
      <c r="N49" s="33"/>
      <c r="O49" s="33"/>
      <c r="P49" s="33"/>
      <c r="Q49" s="33"/>
      <c r="S49" s="38"/>
      <c r="T49" s="38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22.2" customHeight="1">
      <c r="A50" s="6"/>
      <c r="B50" s="125" t="s">
        <v>43</v>
      </c>
      <c r="C50" s="125"/>
      <c r="D50" s="24"/>
      <c r="E50" s="24"/>
      <c r="F50" s="24"/>
      <c r="G50" s="24"/>
      <c r="H50" s="33"/>
      <c r="I50" s="33"/>
      <c r="J50" s="33"/>
      <c r="K50" s="33"/>
      <c r="L50" s="33"/>
      <c r="M50" s="33"/>
      <c r="N50" s="33"/>
      <c r="O50" s="33"/>
      <c r="P50" s="33"/>
      <c r="Q50" s="33"/>
      <c r="S50" s="38"/>
      <c r="T50" s="38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22.2" customHeight="1">
      <c r="A51" s="6"/>
      <c r="B51" s="125" t="s">
        <v>44</v>
      </c>
      <c r="C51" s="125"/>
      <c r="D51" s="24"/>
      <c r="E51" s="24"/>
      <c r="F51" s="24"/>
      <c r="G51" s="24"/>
      <c r="H51" s="33"/>
      <c r="I51" s="33"/>
      <c r="J51" s="33"/>
      <c r="K51" s="33"/>
      <c r="L51" s="33"/>
      <c r="M51" s="33"/>
      <c r="N51" s="33"/>
      <c r="O51" s="33"/>
      <c r="P51" s="33"/>
      <c r="Q51" s="33"/>
      <c r="S51" s="38"/>
      <c r="T51" s="38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22.2" customHeight="1">
      <c r="A52" s="6"/>
      <c r="B52" s="124" t="s">
        <v>45</v>
      </c>
      <c r="C52" s="124"/>
      <c r="D52" s="40"/>
      <c r="E52" s="40"/>
      <c r="F52" s="40"/>
      <c r="G52" s="40"/>
      <c r="H52" s="41"/>
      <c r="I52" s="41"/>
      <c r="J52" s="41"/>
      <c r="K52" s="41"/>
      <c r="L52" s="41"/>
      <c r="M52" s="41"/>
      <c r="N52" s="41"/>
      <c r="O52" s="41"/>
      <c r="P52" s="41"/>
      <c r="Q52" s="41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22.2" customHeight="1">
      <c r="A53" s="6"/>
      <c r="B53" s="124" t="s">
        <v>46</v>
      </c>
      <c r="C53" s="124"/>
      <c r="D53" s="40"/>
      <c r="E53" s="40"/>
      <c r="F53" s="40"/>
      <c r="G53" s="40"/>
      <c r="H53" s="41"/>
      <c r="I53" s="41"/>
      <c r="J53" s="41"/>
      <c r="K53" s="41"/>
      <c r="L53" s="41"/>
      <c r="M53" s="41"/>
      <c r="N53" s="41"/>
      <c r="O53" s="41"/>
      <c r="P53" s="41"/>
      <c r="Q53" s="41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22.2" customHeight="1">
      <c r="A54" s="6"/>
      <c r="B54" s="124" t="s">
        <v>47</v>
      </c>
      <c r="C54" s="124"/>
      <c r="D54" s="40"/>
      <c r="E54" s="40"/>
      <c r="F54" s="40"/>
      <c r="G54" s="40"/>
      <c r="H54" s="41"/>
      <c r="I54" s="41"/>
      <c r="J54" s="41"/>
      <c r="K54" s="41"/>
      <c r="L54" s="41"/>
      <c r="M54" s="41"/>
      <c r="N54" s="41"/>
      <c r="O54" s="41"/>
      <c r="P54" s="41"/>
      <c r="Q54" s="41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22.2" customHeight="1">
      <c r="A55" s="6"/>
      <c r="B55" s="124" t="s">
        <v>48</v>
      </c>
      <c r="C55" s="124"/>
      <c r="D55" s="40"/>
      <c r="E55" s="40"/>
      <c r="F55" s="40"/>
      <c r="G55" s="40"/>
      <c r="H55" s="41"/>
      <c r="I55" s="41"/>
      <c r="J55" s="41"/>
      <c r="K55" s="41"/>
      <c r="L55" s="41"/>
      <c r="M55" s="41"/>
      <c r="N55" s="41"/>
      <c r="O55" s="41"/>
      <c r="P55" s="41"/>
      <c r="Q55" s="41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22.2" customHeight="1">
      <c r="A56" s="6"/>
      <c r="B56" s="124" t="s">
        <v>49</v>
      </c>
      <c r="C56" s="124"/>
      <c r="D56" s="40"/>
      <c r="E56" s="40"/>
      <c r="F56" s="40"/>
      <c r="G56" s="40"/>
      <c r="H56" s="41"/>
      <c r="I56" s="41"/>
      <c r="J56" s="41"/>
      <c r="K56" s="41"/>
      <c r="L56" s="41"/>
      <c r="M56" s="41"/>
      <c r="N56" s="41"/>
      <c r="O56" s="41"/>
      <c r="P56" s="41"/>
      <c r="Q56" s="41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ht="22.2" customHeight="1">
      <c r="A57" s="6"/>
      <c r="B57" s="124" t="s">
        <v>50</v>
      </c>
      <c r="C57" s="124"/>
      <c r="D57" s="40"/>
      <c r="E57" s="40"/>
      <c r="F57" s="40"/>
      <c r="G57" s="40"/>
      <c r="H57" s="41"/>
      <c r="I57" s="41"/>
      <c r="J57" s="41"/>
      <c r="K57" s="41"/>
      <c r="L57" s="41"/>
      <c r="M57" s="41"/>
      <c r="N57" s="41"/>
      <c r="O57" s="41"/>
      <c r="P57" s="41"/>
      <c r="Q57" s="41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22.2" customHeight="1">
      <c r="A58" s="6"/>
      <c r="B58" s="42" t="s">
        <v>51</v>
      </c>
      <c r="C58" s="39"/>
      <c r="D58" s="40"/>
      <c r="E58" s="40"/>
      <c r="F58" s="40"/>
      <c r="G58" s="40"/>
      <c r="H58" s="41"/>
      <c r="I58" s="41"/>
      <c r="J58" s="41"/>
      <c r="K58" s="41"/>
      <c r="L58" s="41"/>
      <c r="M58" s="41"/>
      <c r="N58" s="41"/>
      <c r="O58" s="41"/>
      <c r="P58" s="41"/>
      <c r="Q58" s="41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ht="22.2" customHeight="1">
      <c r="A59" s="6"/>
      <c r="B59" s="124" t="s">
        <v>52</v>
      </c>
      <c r="C59" s="124"/>
      <c r="D59" s="40"/>
      <c r="E59" s="40"/>
      <c r="F59" s="40"/>
      <c r="G59" s="40"/>
      <c r="H59" s="41"/>
      <c r="I59" s="41"/>
      <c r="J59" s="41"/>
      <c r="K59" s="41"/>
      <c r="L59" s="41"/>
      <c r="M59" s="41"/>
      <c r="N59" s="41"/>
      <c r="O59" s="41"/>
      <c r="P59" s="41"/>
      <c r="Q59" s="41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22.2" customHeight="1">
      <c r="A60" s="6"/>
      <c r="B60" s="42" t="s">
        <v>53</v>
      </c>
      <c r="C60" s="39"/>
      <c r="D60" s="40"/>
      <c r="E60" s="40"/>
      <c r="F60" s="40"/>
      <c r="G60" s="40"/>
      <c r="H60" s="41"/>
      <c r="I60" s="41"/>
      <c r="J60" s="41"/>
      <c r="K60" s="41"/>
      <c r="L60" s="41"/>
      <c r="M60" s="41"/>
      <c r="N60" s="41"/>
      <c r="O60" s="41"/>
      <c r="P60" s="41"/>
      <c r="Q60" s="41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22.2" customHeight="1">
      <c r="A61" s="6"/>
      <c r="B61" s="125" t="s">
        <v>54</v>
      </c>
      <c r="C61" s="125"/>
      <c r="D61" s="24"/>
      <c r="E61" s="24"/>
      <c r="F61" s="24"/>
      <c r="G61" s="24"/>
      <c r="H61" s="33"/>
      <c r="I61" s="33"/>
      <c r="J61" s="33"/>
      <c r="K61" s="33"/>
      <c r="L61" s="33"/>
      <c r="M61" s="33"/>
      <c r="N61" s="33"/>
      <c r="O61" s="33"/>
      <c r="P61" s="33"/>
      <c r="Q61" s="33"/>
      <c r="S61" s="38"/>
      <c r="T61" s="3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ht="22.2" customHeight="1">
      <c r="A62" s="6"/>
      <c r="B62" s="125" t="s">
        <v>55</v>
      </c>
      <c r="C62" s="125"/>
      <c r="D62" s="24"/>
      <c r="E62" s="24"/>
      <c r="F62" s="24"/>
      <c r="G62" s="24"/>
      <c r="H62" s="33"/>
      <c r="I62" s="33"/>
      <c r="J62" s="33"/>
      <c r="K62" s="33"/>
      <c r="L62" s="33"/>
      <c r="M62" s="33"/>
      <c r="N62" s="33"/>
      <c r="O62" s="33"/>
      <c r="P62" s="33"/>
      <c r="Q62" s="33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ht="22.2" customHeight="1">
      <c r="A63" s="6"/>
      <c r="B63" s="125" t="s">
        <v>56</v>
      </c>
      <c r="C63" s="125"/>
      <c r="D63" s="28" t="str">
        <f>IFERROR(IF(SUM(D36,D43:D62)&lt;&gt;0, SUM(D43:D62)+(D36*3.412), ""), "")</f>
        <v/>
      </c>
      <c r="E63" s="28" t="str">
        <f t="shared" ref="E63:Q63" si="6">IFERROR(IF(SUM(E36,E43:E62)&lt;&gt;0, SUM(E43:E62)+(E36*3.412), ""),"")</f>
        <v/>
      </c>
      <c r="F63" s="28" t="str">
        <f t="shared" si="6"/>
        <v/>
      </c>
      <c r="G63" s="28" t="str">
        <f t="shared" si="6"/>
        <v/>
      </c>
      <c r="H63" s="28" t="str">
        <f t="shared" si="6"/>
        <v/>
      </c>
      <c r="I63" s="28" t="str">
        <f t="shared" si="6"/>
        <v/>
      </c>
      <c r="J63" s="28" t="str">
        <f t="shared" si="6"/>
        <v/>
      </c>
      <c r="K63" s="28" t="str">
        <f t="shared" si="6"/>
        <v/>
      </c>
      <c r="L63" s="28" t="str">
        <f t="shared" si="6"/>
        <v/>
      </c>
      <c r="M63" s="28" t="str">
        <f t="shared" si="6"/>
        <v/>
      </c>
      <c r="N63" s="28" t="str">
        <f t="shared" si="6"/>
        <v/>
      </c>
      <c r="O63" s="28" t="str">
        <f t="shared" si="6"/>
        <v/>
      </c>
      <c r="P63" s="28" t="str">
        <f t="shared" si="6"/>
        <v/>
      </c>
      <c r="Q63" s="28" t="str">
        <f t="shared" si="6"/>
        <v/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s="22" customFormat="1" ht="9.75" customHeight="1">
      <c r="A64" s="11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</row>
    <row r="65" spans="1:35" ht="17.7" customHeight="1">
      <c r="A65" s="6"/>
      <c r="B65" s="127" t="s">
        <v>57</v>
      </c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s="22" customFormat="1" ht="9.75" customHeight="1">
      <c r="A66" s="11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 s="30" customFormat="1" ht="22.2" customHeight="1">
      <c r="A67" s="31"/>
      <c r="B67" s="124" t="s">
        <v>58</v>
      </c>
      <c r="C67" s="124"/>
      <c r="D67" s="25"/>
      <c r="E67" s="25"/>
      <c r="F67" s="25"/>
      <c r="G67" s="25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</row>
    <row r="68" spans="1:35" ht="22.2" customHeight="1">
      <c r="A68" s="6"/>
      <c r="B68" s="124" t="s">
        <v>48</v>
      </c>
      <c r="C68" s="124"/>
      <c r="D68" s="34"/>
      <c r="E68" s="34"/>
      <c r="F68" s="34"/>
      <c r="G68" s="34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6"/>
      <c r="S68" s="128"/>
      <c r="T68" s="128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22.2" customHeight="1">
      <c r="A69" s="6"/>
      <c r="B69" s="124" t="s">
        <v>49</v>
      </c>
      <c r="C69" s="124"/>
      <c r="D69" s="25"/>
      <c r="E69" s="25"/>
      <c r="F69" s="25"/>
      <c r="G69" s="25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6"/>
      <c r="S69" s="26"/>
      <c r="T69" s="2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22.2" customHeight="1">
      <c r="A70" s="6"/>
      <c r="B70" s="124" t="s">
        <v>50</v>
      </c>
      <c r="C70" s="124"/>
      <c r="D70" s="25"/>
      <c r="E70" s="25"/>
      <c r="F70" s="25"/>
      <c r="G70" s="25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6"/>
      <c r="S70" s="129"/>
      <c r="T70" s="129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22.2" customHeight="1">
      <c r="A71" s="6"/>
      <c r="B71" s="42" t="s">
        <v>51</v>
      </c>
      <c r="C71" s="39"/>
      <c r="D71" s="25"/>
      <c r="E71" s="25"/>
      <c r="F71" s="25"/>
      <c r="G71" s="25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6"/>
      <c r="S71" s="26"/>
      <c r="T71" s="2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22.2" customHeight="1">
      <c r="A72" s="6"/>
      <c r="B72" s="124" t="s">
        <v>52</v>
      </c>
      <c r="C72" s="124"/>
      <c r="D72" s="25"/>
      <c r="E72" s="25"/>
      <c r="F72" s="25"/>
      <c r="G72" s="25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6"/>
      <c r="S72" s="26"/>
      <c r="T72" s="2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22.2" customHeight="1">
      <c r="A73" s="6"/>
      <c r="B73" s="42" t="s">
        <v>53</v>
      </c>
      <c r="C73" s="39"/>
      <c r="D73" s="25"/>
      <c r="E73" s="25"/>
      <c r="F73" s="25"/>
      <c r="G73" s="25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6"/>
      <c r="S73" s="26"/>
      <c r="T73" s="2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22.2" customHeight="1">
      <c r="A74" s="6"/>
      <c r="B74" s="125" t="s">
        <v>55</v>
      </c>
      <c r="C74" s="125"/>
      <c r="D74" s="25"/>
      <c r="E74" s="25"/>
      <c r="F74" s="25"/>
      <c r="G74" s="25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6"/>
      <c r="S74" s="38"/>
      <c r="T74" s="38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22.2" customHeight="1">
      <c r="A75" s="6"/>
      <c r="B75" s="125" t="s">
        <v>55</v>
      </c>
      <c r="C75" s="125"/>
      <c r="D75" s="25"/>
      <c r="E75" s="25"/>
      <c r="F75" s="25"/>
      <c r="G75" s="25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22.2" customHeight="1">
      <c r="B76" s="126" t="s">
        <v>59</v>
      </c>
      <c r="C76" s="126"/>
      <c r="D76" s="114" t="str">
        <f>IFERROR(IF(SUM(D67:D75)&lt;&gt;0, SUM(D68:D75)+(D67*3.412), ""),"")</f>
        <v/>
      </c>
      <c r="E76" s="114" t="str">
        <f>IFERROR(IF(SUM(E67:E75)&lt;&gt;0, SUM(E68:E75)+(E67*3.412), ""),"")</f>
        <v/>
      </c>
      <c r="F76" s="114" t="str">
        <f t="shared" ref="F76:P76" si="7">IFERROR(IF(SUM(F67:F75)&lt;&gt;0, SUM(F68:F75)+(F67*3.412), ""),"")</f>
        <v/>
      </c>
      <c r="G76" s="114" t="str">
        <f t="shared" si="7"/>
        <v/>
      </c>
      <c r="H76" s="114" t="str">
        <f t="shared" si="7"/>
        <v/>
      </c>
      <c r="I76" s="114" t="str">
        <f t="shared" si="7"/>
        <v/>
      </c>
      <c r="J76" s="114" t="str">
        <f t="shared" si="7"/>
        <v/>
      </c>
      <c r="K76" s="114" t="str">
        <f t="shared" si="7"/>
        <v/>
      </c>
      <c r="L76" s="114" t="str">
        <f t="shared" si="7"/>
        <v/>
      </c>
      <c r="M76" s="114" t="str">
        <f t="shared" si="7"/>
        <v/>
      </c>
      <c r="N76" s="114" t="str">
        <f t="shared" si="7"/>
        <v/>
      </c>
      <c r="O76" s="114" t="str">
        <f t="shared" si="7"/>
        <v/>
      </c>
      <c r="P76" s="114" t="str">
        <f t="shared" si="7"/>
        <v/>
      </c>
      <c r="Q76" s="114" t="str">
        <f>IFERROR(IF(OR(R67,Q75,Q70)&lt;&gt;0, SUM(Q68:Q75)+(Q67*3.412), ""),"")</f>
        <v/>
      </c>
    </row>
    <row r="77" spans="1:35" s="22" customFormat="1" ht="9.75" customHeight="1">
      <c r="A77" s="11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</row>
    <row r="78" spans="1:35" ht="17.7" customHeight="1">
      <c r="A78" s="6"/>
      <c r="B78" s="127" t="s">
        <v>202</v>
      </c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s="22" customFormat="1" ht="9.75" customHeight="1">
      <c r="A79" s="11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 spans="1:35" s="22" customFormat="1" ht="22.2" customHeight="1">
      <c r="A80" s="11"/>
      <c r="B80" s="123" t="s">
        <v>60</v>
      </c>
      <c r="C80" s="123"/>
      <c r="D80" s="115" t="str">
        <f>IFERROR(IF(D63&lt;&gt;0,SUMPRODUCT(D$37:D$62,'Data Validation'!$I$26:$I$51)*1000/D$12, ""),"")</f>
        <v/>
      </c>
      <c r="E80" s="115" t="str">
        <f>IFERROR(IF(E63&lt;&gt;0,SUMPRODUCT(E$37:E$62,'Data Validation'!$I$26:$I$51)*1000/E$12, ""),"")</f>
        <v/>
      </c>
      <c r="F80" s="115" t="str">
        <f>IFERROR(IF(F63&lt;&gt;0,SUMPRODUCT(F$37:F$62,'Data Validation'!$I$26:$I$51)*1000/F$12, ""),"")</f>
        <v/>
      </c>
      <c r="G80" s="115" t="str">
        <f>IFERROR(IF(G63&lt;&gt;0,SUMPRODUCT(G$37:G$62,'Data Validation'!$I$26:$I$51)*1000/G$12, ""),"")</f>
        <v/>
      </c>
      <c r="H80" s="115" t="str">
        <f>IFERROR(IF(H63&lt;&gt;0,SUMPRODUCT(H$37:H$62,'Data Validation'!$I$26:$I$51)*1000/H$12, ""),"")</f>
        <v/>
      </c>
      <c r="I80" s="115" t="str">
        <f>IFERROR(IF(I63&lt;&gt;0,SUMPRODUCT(I$37:I$62,'Data Validation'!$I$26:$I$51)*1000/I$12, ""),"")</f>
        <v/>
      </c>
      <c r="J80" s="115" t="str">
        <f>IFERROR(IF(J63&lt;&gt;0,SUMPRODUCT(J$37:J$62,'Data Validation'!$I$26:$I$51)*1000/J$12, ""),"")</f>
        <v/>
      </c>
      <c r="K80" s="115" t="str">
        <f>IFERROR(IF(K63&lt;&gt;0,SUMPRODUCT(K$37:K$62,'Data Validation'!$I$26:$I$51)*1000/K$12, ""),"")</f>
        <v/>
      </c>
      <c r="L80" s="115" t="str">
        <f>IFERROR(IF(L63&lt;&gt;0,SUMPRODUCT(L$37:L$62,'Data Validation'!$I$26:$I$51)*1000/L$12, ""),"")</f>
        <v/>
      </c>
      <c r="M80" s="115" t="str">
        <f>IFERROR(IF(M63&lt;&gt;0,SUMPRODUCT(M$37:M$62,'Data Validation'!$I$26:$I$51)*1000/M$12, ""),"")</f>
        <v/>
      </c>
      <c r="N80" s="115" t="str">
        <f>IFERROR(IF(N63&lt;&gt;0,SUMPRODUCT(N$37:N$62,'Data Validation'!$I$26:$I$51)*1000/N$12, ""),"")</f>
        <v/>
      </c>
      <c r="O80" s="115" t="str">
        <f>IFERROR(IF(O63&lt;&gt;0,SUMPRODUCT(O$37:O$62,'Data Validation'!$I$26:$I$51)*1000/O$12, ""),"")</f>
        <v/>
      </c>
      <c r="P80" s="115" t="str">
        <f>IFERROR(IF(P63&lt;&gt;0,SUMPRODUCT(P$37:P$62,'Data Validation'!$I$26:$I$51)*1000/P$12, ""),"")</f>
        <v/>
      </c>
      <c r="Q80" s="115" t="str">
        <f>IFERROR(IF(Q63&lt;&gt;0,SUMPRODUCT(Q$37:Q$62,'Data Validation'!$I$26:$I$51)*1000/Q$12, ""),"")</f>
        <v/>
      </c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</row>
    <row r="81" spans="1:35" s="22" customFormat="1" ht="22.2" customHeight="1">
      <c r="A81" s="11"/>
      <c r="B81" s="123" t="s">
        <v>61</v>
      </c>
      <c r="C81" s="123"/>
      <c r="D81" s="116" t="str">
        <f>IFERROR(IF(D63&lt;&gt;0,($D$80-D80)/D80,""),"")</f>
        <v/>
      </c>
      <c r="E81" s="116" t="str">
        <f t="shared" ref="E81:Q81" si="8">IFERROR(IF(E63&lt;&gt;0,($D$80-E80)/E80,""),"")</f>
        <v/>
      </c>
      <c r="F81" s="116" t="str">
        <f t="shared" si="8"/>
        <v/>
      </c>
      <c r="G81" s="116" t="str">
        <f t="shared" si="8"/>
        <v/>
      </c>
      <c r="H81" s="116" t="str">
        <f t="shared" si="8"/>
        <v/>
      </c>
      <c r="I81" s="116" t="str">
        <f t="shared" si="8"/>
        <v/>
      </c>
      <c r="J81" s="116" t="str">
        <f t="shared" si="8"/>
        <v/>
      </c>
      <c r="K81" s="116" t="str">
        <f t="shared" si="8"/>
        <v/>
      </c>
      <c r="L81" s="116" t="str">
        <f t="shared" si="8"/>
        <v/>
      </c>
      <c r="M81" s="116" t="str">
        <f t="shared" si="8"/>
        <v/>
      </c>
      <c r="N81" s="116" t="str">
        <f t="shared" si="8"/>
        <v/>
      </c>
      <c r="O81" s="116" t="str">
        <f t="shared" si="8"/>
        <v/>
      </c>
      <c r="P81" s="116" t="str">
        <f t="shared" si="8"/>
        <v/>
      </c>
      <c r="Q81" s="116" t="str">
        <f t="shared" si="8"/>
        <v/>
      </c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</row>
    <row r="82" spans="1:35" s="30" customFormat="1" ht="22.2" customHeight="1">
      <c r="A82" s="31"/>
      <c r="B82" s="123" t="s">
        <v>62</v>
      </c>
      <c r="C82" s="123"/>
      <c r="D82" s="115" t="str">
        <f>IFERROR(IF(D63&lt;&gt;0,SUMPRODUCT(D$37:D$62,'Data Validation'!$H$26:$H$51,'Data Validation'!$I$26:$I$51)*1000/D$12, ""),"")</f>
        <v/>
      </c>
      <c r="E82" s="115" t="str">
        <f>IFERROR(IF(E63&lt;&gt;0,SUMPRODUCT(E$37:E$62,'Data Validation'!$H$26:$H$51,'Data Validation'!$I$26:$I$51)*1000/E$12, ""),"")</f>
        <v/>
      </c>
      <c r="F82" s="115" t="str">
        <f>IFERROR(IF(F63&lt;&gt;0,SUMPRODUCT(F$37:F$62,'Data Validation'!$H$26:$H$51,'Data Validation'!$I$26:$I$51)*1000/F$12, ""),"")</f>
        <v/>
      </c>
      <c r="G82" s="115" t="str">
        <f>IFERROR(IF(G63&lt;&gt;0,SUMPRODUCT(G$37:G$62,'Data Validation'!$H$26:$H$51,'Data Validation'!$I$26:$I$51)*1000/G$12, ""),"")</f>
        <v/>
      </c>
      <c r="H82" s="115" t="str">
        <f>IFERROR(IF(H63&lt;&gt;0,SUMPRODUCT(H$37:H$62,'Data Validation'!$H$26:$H$51,'Data Validation'!$I$26:$I$51)*1000/H$12, ""),"")</f>
        <v/>
      </c>
      <c r="I82" s="115" t="str">
        <f>IFERROR(IF(I63&lt;&gt;0,SUMPRODUCT(I$37:I$62,'Data Validation'!$H$26:$H$51,'Data Validation'!$I$26:$I$51)*1000/I$12, ""),"")</f>
        <v/>
      </c>
      <c r="J82" s="115" t="str">
        <f>IFERROR(IF(J63&lt;&gt;0,SUMPRODUCT(J$37:J$62,'Data Validation'!$H$26:$H$51,'Data Validation'!$I$26:$I$51)*1000/J$12, ""),"")</f>
        <v/>
      </c>
      <c r="K82" s="115" t="str">
        <f>IFERROR(IF(K63&lt;&gt;0,SUMPRODUCT(K$37:K$62,'Data Validation'!$H$26:$H$51,'Data Validation'!$I$26:$I$51)*1000/K$12, ""),"")</f>
        <v/>
      </c>
      <c r="L82" s="115" t="str">
        <f>IFERROR(IF(L63&lt;&gt;0,SUMPRODUCT(L$37:L$62,'Data Validation'!$H$26:$H$51,'Data Validation'!$I$26:$I$51)*1000/L$12, ""),"")</f>
        <v/>
      </c>
      <c r="M82" s="115" t="str">
        <f>IFERROR(IF(M63&lt;&gt;0,SUMPRODUCT(M$37:M$62,'Data Validation'!$H$26:$H$51,'Data Validation'!$I$26:$I$51)*1000/M$12, ""),"")</f>
        <v/>
      </c>
      <c r="N82" s="115" t="str">
        <f>IFERROR(IF(N63&lt;&gt;0,SUMPRODUCT(N$37:N$62,'Data Validation'!$H$26:$H$51,'Data Validation'!$I$26:$I$51)*1000/N$12, ""),"")</f>
        <v/>
      </c>
      <c r="O82" s="115" t="str">
        <f>IFERROR(IF(O63&lt;&gt;0,SUMPRODUCT(O$37:O$62,'Data Validation'!$H$26:$H$51,'Data Validation'!$I$26:$I$51)*1000/O$12, ""),"")</f>
        <v/>
      </c>
      <c r="P82" s="115" t="str">
        <f>IFERROR(IF(P63&lt;&gt;0,SUMPRODUCT(P$37:P$62,'Data Validation'!$H$26:$H$51,'Data Validation'!$I$26:$I$51)*1000/P$12, ""),"")</f>
        <v/>
      </c>
      <c r="Q82" s="115" t="str">
        <f>IFERROR(IF(Q63&lt;&gt;0,SUMPRODUCT(Q$37:Q$62,'Data Validation'!$H$26:$H$51,'Data Validation'!$I$26:$I$51)*1000/Q$12, ""),"")</f>
        <v/>
      </c>
      <c r="R82" s="43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</row>
    <row r="83" spans="1:35" s="30" customFormat="1" ht="22.2" customHeight="1">
      <c r="A83" s="31"/>
      <c r="B83" s="123" t="s">
        <v>63</v>
      </c>
      <c r="C83" s="123"/>
      <c r="D83" s="116" t="str">
        <f t="shared" ref="D83:Q83" si="9">IFERROR(IF(D63&lt;&gt;0,($D$82-D82)/D82,""),"")</f>
        <v/>
      </c>
      <c r="E83" s="116" t="str">
        <f>IFERROR(IF(E63&lt;&gt;0,($D$82-E82)/E82,""),"")</f>
        <v/>
      </c>
      <c r="F83" s="116" t="str">
        <f t="shared" si="9"/>
        <v/>
      </c>
      <c r="G83" s="116" t="str">
        <f t="shared" si="9"/>
        <v/>
      </c>
      <c r="H83" s="116" t="str">
        <f t="shared" si="9"/>
        <v/>
      </c>
      <c r="I83" s="116" t="str">
        <f t="shared" si="9"/>
        <v/>
      </c>
      <c r="J83" s="116" t="str">
        <f t="shared" si="9"/>
        <v/>
      </c>
      <c r="K83" s="116" t="str">
        <f t="shared" si="9"/>
        <v/>
      </c>
      <c r="L83" s="116" t="str">
        <f t="shared" si="9"/>
        <v/>
      </c>
      <c r="M83" s="116" t="str">
        <f t="shared" si="9"/>
        <v/>
      </c>
      <c r="N83" s="116" t="str">
        <f t="shared" si="9"/>
        <v/>
      </c>
      <c r="O83" s="116" t="str">
        <f t="shared" si="9"/>
        <v/>
      </c>
      <c r="P83" s="116" t="str">
        <f t="shared" si="9"/>
        <v/>
      </c>
      <c r="Q83" s="116" t="str">
        <f t="shared" si="9"/>
        <v/>
      </c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</row>
    <row r="84" spans="1:35" s="30" customFormat="1" ht="22.2" customHeight="1">
      <c r="A84" s="31"/>
      <c r="B84" s="123" t="s">
        <v>64</v>
      </c>
      <c r="C84" s="123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</row>
    <row r="85" spans="1:35" s="22" customFormat="1" ht="9.75" customHeight="1">
      <c r="A85" s="11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</row>
    <row r="86" spans="1:35">
      <c r="A86" s="44"/>
      <c r="B86" s="46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7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</row>
    <row r="87" spans="1:35">
      <c r="A87" s="6"/>
      <c r="B87" s="48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>
      <c r="A88" s="6"/>
      <c r="B88" s="48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1: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1: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1: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1: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1: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1: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1: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1: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1: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1: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1: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1: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1: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1: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1: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1: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1: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1: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1: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1: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1: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1: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1: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1: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1: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1: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1: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1: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1: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1: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1: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1: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1: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1: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1: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1: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1: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1: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spans="1: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spans="1: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spans="1: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spans="1: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spans="1: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spans="1: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spans="1: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spans="1: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spans="1: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spans="1: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spans="1: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spans="1: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spans="1: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spans="1: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spans="1: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spans="1: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spans="1: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spans="1: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spans="1: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spans="1: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spans="1: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spans="1: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spans="1: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spans="1: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spans="1: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spans="1: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spans="1: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spans="1: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spans="1: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spans="1: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spans="1: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spans="1: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spans="1: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spans="1: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spans="1: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spans="1: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spans="1: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spans="1: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spans="1: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spans="1: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spans="1: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spans="1: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spans="1: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spans="1: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spans="1: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spans="1: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spans="1: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spans="1: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spans="1: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spans="1: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spans="1: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spans="1: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spans="1: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spans="1: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spans="1: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spans="1: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spans="1: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spans="1: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spans="1: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spans="1: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spans="1: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1: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spans="1: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spans="1: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spans="1: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spans="1: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spans="1: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spans="1: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spans="1: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spans="1: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spans="1: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spans="1: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spans="1: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spans="1: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spans="1: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spans="1: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spans="1: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spans="1: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spans="1: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spans="1: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spans="1: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spans="1: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spans="1: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spans="1: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spans="1: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spans="1: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spans="1: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spans="1: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spans="1: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spans="1: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spans="1: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spans="1: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spans="1: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spans="1: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spans="1: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spans="1: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spans="1: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spans="1: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spans="1: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spans="1: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spans="1: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spans="1: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spans="1: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spans="1: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spans="1: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spans="1: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spans="1: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spans="1: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spans="1: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spans="1: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spans="1: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spans="1: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spans="1: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spans="1: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spans="1: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spans="1: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spans="1: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spans="1: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spans="1: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spans="1: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spans="1: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spans="1: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spans="1: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spans="1: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spans="1: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spans="1: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spans="1: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spans="1: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spans="1: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spans="1: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spans="1: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spans="1: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spans="1: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spans="1: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spans="1: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spans="1: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spans="1: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spans="1: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spans="1: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spans="1: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spans="1: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spans="1: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spans="1: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spans="1: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spans="1: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spans="1: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spans="1: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spans="1: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spans="1: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spans="1: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spans="1: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spans="1: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spans="1: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spans="1: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spans="1: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spans="1: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spans="1: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spans="1: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spans="1: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spans="1: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spans="1: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spans="1: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spans="1: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spans="1: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spans="1: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spans="1: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spans="1: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spans="1: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spans="1: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spans="1: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spans="1: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spans="1: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spans="1: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spans="1: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spans="1: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spans="1: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spans="1: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spans="1: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spans="1: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spans="1: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spans="1: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spans="1: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spans="1: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spans="1: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spans="1: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spans="1: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spans="1: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spans="1: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spans="1: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spans="1: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spans="1: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spans="1: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spans="1: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spans="1: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spans="1: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spans="1: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spans="1: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spans="1: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spans="1: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spans="1: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spans="1: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spans="1: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spans="1: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spans="1: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spans="1: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spans="1: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spans="1: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spans="1: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spans="1: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spans="1: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spans="1: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spans="1: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spans="1: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spans="1: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spans="1: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spans="1: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spans="1: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spans="1: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spans="1: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spans="1: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spans="1: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spans="1: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spans="1: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spans="1: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spans="1: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spans="1: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spans="1: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spans="1: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spans="1: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spans="1: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spans="1: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spans="1: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spans="1: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spans="1: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spans="1: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spans="1: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spans="1: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spans="1: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spans="1: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spans="1: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spans="1: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spans="1: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spans="1: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spans="1: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spans="1: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spans="1: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spans="1: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spans="1: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spans="1: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spans="1: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spans="1: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spans="1: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spans="1: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</sheetData>
  <mergeCells count="81">
    <mergeCell ref="D3:M3"/>
    <mergeCell ref="F5:I5"/>
    <mergeCell ref="J5:M5"/>
    <mergeCell ref="F6:I6"/>
    <mergeCell ref="J6:M6"/>
    <mergeCell ref="F7:I7"/>
    <mergeCell ref="J7:M7"/>
    <mergeCell ref="B10:Q10"/>
    <mergeCell ref="B12:C12"/>
    <mergeCell ref="B13:C13"/>
    <mergeCell ref="B15:Q15"/>
    <mergeCell ref="B17:C17"/>
    <mergeCell ref="T17:U17"/>
    <mergeCell ref="B18:C18"/>
    <mergeCell ref="T18:U18"/>
    <mergeCell ref="B19:C19"/>
    <mergeCell ref="T19:U19"/>
    <mergeCell ref="B20:C20"/>
    <mergeCell ref="T20:U20"/>
    <mergeCell ref="B21:C21"/>
    <mergeCell ref="B22:C22"/>
    <mergeCell ref="T22:U22"/>
    <mergeCell ref="B23:C23"/>
    <mergeCell ref="T23:U23"/>
    <mergeCell ref="B24:C24"/>
    <mergeCell ref="B25:C25"/>
    <mergeCell ref="B26:C26"/>
    <mergeCell ref="T26:U26"/>
    <mergeCell ref="B27:C27"/>
    <mergeCell ref="B29:Q29"/>
    <mergeCell ref="B31:C31"/>
    <mergeCell ref="B32:C32"/>
    <mergeCell ref="B34:Q34"/>
    <mergeCell ref="B36:C36"/>
    <mergeCell ref="B37:C37"/>
    <mergeCell ref="S37:T37"/>
    <mergeCell ref="B38:C38"/>
    <mergeCell ref="S38:T38"/>
    <mergeCell ref="B39:C39"/>
    <mergeCell ref="B40:C40"/>
    <mergeCell ref="B41:C41"/>
    <mergeCell ref="S41:T41"/>
    <mergeCell ref="B42:C42"/>
    <mergeCell ref="B43:C43"/>
    <mergeCell ref="S43:T43"/>
    <mergeCell ref="B44:C44"/>
    <mergeCell ref="B45:C45"/>
    <mergeCell ref="B46:C46"/>
    <mergeCell ref="S46:T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9:C59"/>
    <mergeCell ref="B61:C61"/>
    <mergeCell ref="B62:C62"/>
    <mergeCell ref="B63:C63"/>
    <mergeCell ref="B65:Q65"/>
    <mergeCell ref="B67:C67"/>
    <mergeCell ref="B68:C68"/>
    <mergeCell ref="S68:T68"/>
    <mergeCell ref="B69:C69"/>
    <mergeCell ref="B70:C70"/>
    <mergeCell ref="S70:T70"/>
    <mergeCell ref="B72:C72"/>
    <mergeCell ref="B74:C74"/>
    <mergeCell ref="B75:C75"/>
    <mergeCell ref="B76:C76"/>
    <mergeCell ref="B78:Q78"/>
    <mergeCell ref="B80:C80"/>
    <mergeCell ref="B81:C81"/>
    <mergeCell ref="B82:C82"/>
    <mergeCell ref="B83:C83"/>
    <mergeCell ref="B84:C84"/>
  </mergeCells>
  <dataValidations count="1">
    <dataValidation showInputMessage="1" sqref="B8:B14 C14:H14 C8:H11" xr:uid="{00000000-0002-0000-0000-000000000000}"/>
  </dataValidations>
  <pageMargins left="0.7" right="0.7" top="0.75" bottom="0.75" header="0.3" footer="0.3"/>
  <pageSetup scale="54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6"/>
  <sheetViews>
    <sheetView showGridLines="0" zoomScaleNormal="100" workbookViewId="0">
      <selection activeCell="C30" sqref="C30"/>
    </sheetView>
  </sheetViews>
  <sheetFormatPr defaultColWidth="8.77734375" defaultRowHeight="14.4"/>
  <cols>
    <col min="1" max="1" width="2.77734375" customWidth="1"/>
    <col min="2" max="2" width="39.6640625" customWidth="1"/>
    <col min="3" max="3" width="18.77734375" customWidth="1"/>
    <col min="4" max="5" width="12.6640625" customWidth="1"/>
    <col min="6" max="8" width="25.6640625" customWidth="1"/>
    <col min="9" max="13" width="12.6640625" customWidth="1"/>
    <col min="14" max="14" width="10.44140625" customWidth="1"/>
  </cols>
  <sheetData>
    <row r="1" spans="1:16" ht="36" customHeight="1">
      <c r="A1" s="49"/>
      <c r="B1" s="64" t="s">
        <v>67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6" ht="15" customHeight="1"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6" ht="15" customHeight="1">
      <c r="B3" s="57" t="s">
        <v>68</v>
      </c>
      <c r="C3" s="122"/>
      <c r="M3" s="45"/>
      <c r="N3" s="58"/>
    </row>
    <row r="4" spans="1:16" ht="15" customHeight="1">
      <c r="M4" s="45"/>
      <c r="N4" s="58"/>
    </row>
    <row r="5" spans="1:16" ht="37.5" customHeight="1">
      <c r="B5" s="57" t="s">
        <v>69</v>
      </c>
      <c r="C5" s="65" t="s">
        <v>70</v>
      </c>
      <c r="D5" s="66" t="s">
        <v>71</v>
      </c>
      <c r="E5" s="66" t="s">
        <v>72</v>
      </c>
      <c r="F5" s="66" t="s">
        <v>73</v>
      </c>
      <c r="G5" s="66" t="s">
        <v>74</v>
      </c>
      <c r="H5" s="66" t="s">
        <v>75</v>
      </c>
      <c r="I5" s="60"/>
      <c r="J5" s="60"/>
      <c r="K5" s="60"/>
      <c r="L5" s="60"/>
      <c r="M5" s="60"/>
    </row>
    <row r="6" spans="1:16" ht="20.25" customHeight="1">
      <c r="B6" s="118"/>
      <c r="C6" s="119"/>
      <c r="D6" s="120"/>
      <c r="E6" s="120"/>
      <c r="F6" s="119"/>
      <c r="G6" s="119"/>
      <c r="H6" s="119"/>
      <c r="I6" s="70"/>
      <c r="J6" s="70"/>
      <c r="K6" s="70"/>
      <c r="L6" s="70"/>
      <c r="M6" s="70"/>
      <c r="N6" s="63"/>
    </row>
    <row r="7" spans="1:16" ht="20.25" customHeight="1">
      <c r="B7" s="118"/>
      <c r="C7" s="119"/>
      <c r="D7" s="120"/>
      <c r="E7" s="120"/>
      <c r="F7" s="119"/>
      <c r="G7" s="119"/>
      <c r="H7" s="119"/>
      <c r="I7" s="62"/>
      <c r="J7" s="62"/>
      <c r="K7" s="62"/>
      <c r="L7" s="62"/>
      <c r="M7" s="62"/>
      <c r="N7" s="63"/>
    </row>
    <row r="8" spans="1:16" ht="20.25" customHeight="1">
      <c r="B8" s="118"/>
      <c r="C8" s="119"/>
      <c r="D8" s="120"/>
      <c r="E8" s="120"/>
      <c r="F8" s="119"/>
      <c r="G8" s="119"/>
      <c r="H8" s="119"/>
      <c r="I8" s="62"/>
      <c r="J8" s="71"/>
      <c r="K8" s="71"/>
      <c r="L8" s="71"/>
      <c r="M8" s="71"/>
      <c r="N8" s="63"/>
    </row>
    <row r="9" spans="1:16" ht="20.25" customHeight="1">
      <c r="B9" s="118"/>
      <c r="C9" s="119"/>
      <c r="D9" s="120"/>
      <c r="E9" s="120"/>
      <c r="F9" s="119"/>
      <c r="G9" s="119"/>
      <c r="H9" s="119"/>
      <c r="I9" s="62"/>
      <c r="J9" s="72"/>
      <c r="K9" s="72"/>
      <c r="L9" s="72"/>
      <c r="M9" s="56"/>
      <c r="P9" s="73"/>
    </row>
    <row r="10" spans="1:16" ht="20.25" customHeight="1">
      <c r="B10" s="118"/>
      <c r="C10" s="119"/>
      <c r="D10" s="120"/>
      <c r="E10" s="120"/>
      <c r="F10" s="119"/>
      <c r="G10" s="119"/>
      <c r="H10" s="119"/>
      <c r="I10" s="62"/>
    </row>
    <row r="11" spans="1:16" ht="20.25" customHeight="1">
      <c r="B11" s="118"/>
      <c r="C11" s="119"/>
      <c r="D11" s="120"/>
      <c r="E11" s="120"/>
      <c r="F11" s="119"/>
      <c r="G11" s="119"/>
      <c r="H11" s="119"/>
      <c r="I11" s="62"/>
    </row>
    <row r="12" spans="1:16" ht="20.25" customHeight="1">
      <c r="B12" s="118"/>
      <c r="C12" s="119"/>
      <c r="D12" s="120"/>
      <c r="E12" s="120"/>
      <c r="F12" s="119"/>
      <c r="G12" s="119"/>
      <c r="H12" s="119"/>
      <c r="I12" s="62"/>
    </row>
    <row r="13" spans="1:16" ht="20.25" customHeight="1">
      <c r="B13" s="118"/>
      <c r="C13" s="119"/>
      <c r="D13" s="120"/>
      <c r="E13" s="120"/>
      <c r="F13" s="119"/>
      <c r="G13" s="119"/>
      <c r="H13" s="119"/>
      <c r="I13" s="62"/>
    </row>
    <row r="14" spans="1:16" ht="20.25" customHeight="1">
      <c r="B14" s="118"/>
      <c r="C14" s="119"/>
      <c r="D14" s="120"/>
      <c r="E14" s="120"/>
      <c r="F14" s="119"/>
      <c r="G14" s="119"/>
      <c r="H14" s="119"/>
      <c r="I14" s="62"/>
    </row>
    <row r="15" spans="1:16" ht="20.25" customHeight="1">
      <c r="B15" s="118"/>
      <c r="C15" s="119"/>
      <c r="D15" s="120"/>
      <c r="E15" s="120"/>
      <c r="F15" s="119"/>
      <c r="G15" s="119"/>
      <c r="H15" s="119"/>
      <c r="I15" s="62"/>
    </row>
    <row r="16" spans="1:16" ht="20.25" customHeight="1">
      <c r="B16" s="118"/>
      <c r="C16" s="119"/>
      <c r="D16" s="120"/>
      <c r="E16" s="120"/>
      <c r="F16" s="119"/>
      <c r="G16" s="119"/>
      <c r="H16" s="119"/>
      <c r="I16" s="62"/>
    </row>
    <row r="17" spans="2:9" ht="20.25" customHeight="1">
      <c r="B17" s="118"/>
      <c r="C17" s="119"/>
      <c r="D17" s="120"/>
      <c r="E17" s="120"/>
      <c r="F17" s="119"/>
      <c r="G17" s="119"/>
      <c r="H17" s="119"/>
      <c r="I17" s="62"/>
    </row>
    <row r="18" spans="2:9" ht="20.25" customHeight="1">
      <c r="B18" s="118"/>
      <c r="C18" s="119"/>
      <c r="D18" s="120"/>
      <c r="E18" s="120"/>
      <c r="F18" s="119"/>
      <c r="G18" s="119"/>
      <c r="H18" s="119"/>
      <c r="I18" s="62"/>
    </row>
    <row r="19" spans="2:9" ht="20.25" customHeight="1">
      <c r="B19" s="118"/>
      <c r="C19" s="119"/>
      <c r="D19" s="120"/>
      <c r="E19" s="120"/>
      <c r="F19" s="119"/>
      <c r="G19" s="119"/>
      <c r="H19" s="119"/>
      <c r="I19" s="62"/>
    </row>
    <row r="20" spans="2:9" ht="20.25" customHeight="1">
      <c r="B20" s="118"/>
      <c r="C20" s="119"/>
      <c r="D20" s="120"/>
      <c r="E20" s="120"/>
      <c r="F20" s="119"/>
      <c r="G20" s="119"/>
      <c r="H20" s="119"/>
      <c r="I20" s="62"/>
    </row>
    <row r="21" spans="2:9" ht="20.25" customHeight="1">
      <c r="B21" s="67"/>
      <c r="C21" s="68"/>
      <c r="D21" s="69"/>
      <c r="E21" s="69"/>
      <c r="F21" s="68"/>
      <c r="G21" s="68"/>
      <c r="H21" s="68"/>
      <c r="I21" s="62"/>
    </row>
    <row r="22" spans="2:9" ht="20.25" customHeight="1">
      <c r="B22" s="67"/>
      <c r="C22" s="68"/>
      <c r="D22" s="69"/>
      <c r="E22" s="69"/>
      <c r="F22" s="68"/>
      <c r="G22" s="68"/>
      <c r="H22" s="68"/>
      <c r="I22" s="62"/>
    </row>
    <row r="23" spans="2:9" ht="20.25" customHeight="1">
      <c r="B23" s="67"/>
      <c r="C23" s="68"/>
      <c r="D23" s="69"/>
      <c r="E23" s="69"/>
      <c r="F23" s="68"/>
      <c r="G23" s="68"/>
      <c r="H23" s="68"/>
      <c r="I23" s="62"/>
    </row>
    <row r="24" spans="2:9" ht="20.25" customHeight="1">
      <c r="B24" s="67"/>
      <c r="C24" s="68"/>
      <c r="D24" s="69"/>
      <c r="E24" s="69"/>
      <c r="F24" s="68"/>
      <c r="G24" s="68"/>
      <c r="H24" s="68"/>
      <c r="I24" s="62"/>
    </row>
    <row r="25" spans="2:9" ht="20.25" customHeight="1">
      <c r="B25" s="67"/>
      <c r="C25" s="68"/>
      <c r="D25" s="69"/>
      <c r="E25" s="69"/>
      <c r="F25" s="68"/>
      <c r="G25" s="68"/>
      <c r="H25" s="68"/>
      <c r="I25" s="62"/>
    </row>
    <row r="26" spans="2:9" ht="20.25" customHeight="1">
      <c r="B26" s="67"/>
      <c r="C26" s="68"/>
      <c r="D26" s="69"/>
      <c r="E26" s="69"/>
      <c r="F26" s="68"/>
      <c r="G26" s="68"/>
      <c r="H26" s="68"/>
      <c r="I26" s="62"/>
    </row>
  </sheetData>
  <dataValidations count="1">
    <dataValidation showInputMessage="1" sqref="J7:M7" xr:uid="{00000000-0002-0000-0300-000000000000}"/>
  </dataValidations>
  <pageMargins left="0.7" right="0.7" top="0.75" bottom="0.75" header="0.3" footer="0.3"/>
  <pageSetup scale="55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24"/>
  <sheetViews>
    <sheetView showGridLines="0" zoomScale="75" zoomScaleNormal="75" workbookViewId="0">
      <selection activeCell="R6" sqref="R6"/>
    </sheetView>
  </sheetViews>
  <sheetFormatPr defaultColWidth="8.77734375" defaultRowHeight="14.4"/>
  <cols>
    <col min="1" max="1" width="2.77734375" customWidth="1"/>
    <col min="2" max="2" width="9.33203125" customWidth="1"/>
    <col min="3" max="19" width="12.6640625" customWidth="1"/>
    <col min="20" max="20" width="10.44140625" customWidth="1"/>
  </cols>
  <sheetData>
    <row r="1" spans="1:20" ht="36" customHeight="1">
      <c r="A1" s="49"/>
      <c r="B1" s="50" t="s">
        <v>76</v>
      </c>
      <c r="C1" s="51"/>
      <c r="D1" s="51"/>
      <c r="E1" s="51"/>
      <c r="F1" s="51"/>
      <c r="G1" s="51"/>
      <c r="H1" s="51"/>
      <c r="I1" s="51"/>
      <c r="J1" s="52"/>
      <c r="K1" s="52"/>
      <c r="L1" s="52"/>
      <c r="M1" s="52"/>
      <c r="N1" s="52"/>
      <c r="O1" s="52"/>
      <c r="P1" s="52"/>
      <c r="Q1" s="52"/>
      <c r="R1" s="52"/>
      <c r="S1" s="52"/>
      <c r="T1" s="53"/>
    </row>
    <row r="2" spans="1:20" ht="1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  <c r="Q2" s="56"/>
      <c r="R2" s="56"/>
      <c r="S2" s="56"/>
    </row>
    <row r="3" spans="1:20" ht="28.5" customHeight="1">
      <c r="B3" s="59" t="s">
        <v>65</v>
      </c>
      <c r="C3" s="148" t="s">
        <v>66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60"/>
      <c r="P3" s="60"/>
      <c r="Q3" s="60"/>
      <c r="R3" s="60"/>
      <c r="S3" s="60"/>
    </row>
    <row r="4" spans="1:20" ht="51" customHeight="1">
      <c r="B4" s="61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62"/>
      <c r="P4" s="62"/>
      <c r="Q4" s="62"/>
      <c r="R4" s="62"/>
      <c r="S4" s="62"/>
      <c r="T4" s="63"/>
    </row>
    <row r="5" spans="1:20" ht="51" customHeight="1">
      <c r="B5" s="121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62"/>
      <c r="P5" s="62"/>
      <c r="Q5" s="62"/>
      <c r="R5" s="62"/>
      <c r="S5" s="62"/>
      <c r="T5" s="63"/>
    </row>
    <row r="6" spans="1:20" ht="51" customHeight="1">
      <c r="B6" s="61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62"/>
      <c r="P6" s="62"/>
      <c r="Q6" s="62"/>
      <c r="R6" s="62"/>
      <c r="S6" s="62"/>
      <c r="T6" s="63"/>
    </row>
    <row r="7" spans="1:20" ht="51" customHeight="1">
      <c r="B7" s="61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62"/>
      <c r="P7" s="62"/>
      <c r="Q7" s="62"/>
      <c r="R7" s="62"/>
      <c r="S7" s="62"/>
      <c r="T7" s="63"/>
    </row>
    <row r="8" spans="1:20" ht="51" customHeight="1">
      <c r="B8" s="61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62"/>
      <c r="P8" s="62"/>
      <c r="Q8" s="62"/>
      <c r="R8" s="62"/>
      <c r="S8" s="62"/>
      <c r="T8" s="63"/>
    </row>
    <row r="9" spans="1:20" ht="51" customHeight="1">
      <c r="B9" s="61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62"/>
      <c r="P9" s="62"/>
      <c r="Q9" s="62"/>
      <c r="R9" s="62"/>
      <c r="S9" s="62"/>
      <c r="T9" s="63"/>
    </row>
    <row r="10" spans="1:20" ht="51" customHeight="1">
      <c r="B10" s="61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62"/>
      <c r="P10" s="62"/>
      <c r="Q10" s="62"/>
      <c r="R10" s="62"/>
      <c r="S10" s="62"/>
      <c r="T10" s="63"/>
    </row>
    <row r="11" spans="1:20" ht="51" customHeight="1">
      <c r="B11" s="61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62"/>
      <c r="P11" s="62"/>
      <c r="Q11" s="62"/>
      <c r="R11" s="62"/>
      <c r="S11" s="62"/>
      <c r="T11" s="63"/>
    </row>
    <row r="12" spans="1:20" ht="51" customHeight="1">
      <c r="B12" s="61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62"/>
      <c r="P12" s="62"/>
      <c r="Q12" s="62"/>
      <c r="R12" s="62"/>
      <c r="S12" s="62"/>
      <c r="T12" s="63"/>
    </row>
    <row r="13" spans="1:20" ht="51" customHeight="1">
      <c r="B13" s="61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62"/>
      <c r="P13" s="62"/>
      <c r="Q13" s="62"/>
      <c r="R13" s="62"/>
      <c r="S13" s="62"/>
      <c r="T13" s="63"/>
    </row>
    <row r="14" spans="1:20" ht="51" customHeight="1">
      <c r="B14" s="61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62"/>
      <c r="P14" s="62"/>
      <c r="Q14" s="62"/>
      <c r="R14" s="62"/>
      <c r="S14" s="62"/>
      <c r="T14" s="63"/>
    </row>
    <row r="15" spans="1:20"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</row>
    <row r="16" spans="1:20"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</row>
    <row r="17" spans="2:15"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</row>
    <row r="18" spans="2:15"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</row>
    <row r="19" spans="2:15"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</row>
    <row r="20" spans="2:15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</row>
    <row r="21" spans="2:15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</row>
    <row r="23" spans="2:15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</row>
    <row r="24" spans="2:15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</row>
  </sheetData>
  <mergeCells count="12">
    <mergeCell ref="C3:N3"/>
    <mergeCell ref="C4:N4"/>
    <mergeCell ref="C5:N5"/>
    <mergeCell ref="C11:N11"/>
    <mergeCell ref="C12:N12"/>
    <mergeCell ref="C13:N13"/>
    <mergeCell ref="C14:N14"/>
    <mergeCell ref="C6:N6"/>
    <mergeCell ref="C7:N7"/>
    <mergeCell ref="C8:N8"/>
    <mergeCell ref="C9:N9"/>
    <mergeCell ref="C10:N10"/>
  </mergeCells>
  <dataValidations count="1">
    <dataValidation showInputMessage="1" sqref="P5:S5" xr:uid="{00000000-0002-0000-0400-000000000000}"/>
  </dataValidations>
  <pageMargins left="0.7" right="0.7" top="0.75" bottom="0.75" header="0.3" footer="0.3"/>
  <pageSetup scale="71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O51"/>
  <sheetViews>
    <sheetView zoomScaleNormal="100" workbookViewId="0">
      <selection activeCell="K30" sqref="K30"/>
    </sheetView>
  </sheetViews>
  <sheetFormatPr defaultColWidth="8.77734375" defaultRowHeight="14.4"/>
  <cols>
    <col min="1" max="1" width="18.33203125" style="74" customWidth="1"/>
    <col min="2" max="3" width="26" customWidth="1"/>
    <col min="7" max="7" width="48.44140625" customWidth="1"/>
    <col min="9" max="9" width="40.44140625" customWidth="1"/>
    <col min="15" max="15" width="30.33203125" customWidth="1"/>
  </cols>
  <sheetData>
    <row r="1" spans="1:15">
      <c r="A1" s="75" t="s">
        <v>77</v>
      </c>
      <c r="B1" s="76" t="s">
        <v>78</v>
      </c>
      <c r="I1" s="76" t="s">
        <v>79</v>
      </c>
    </row>
    <row r="2" spans="1:15">
      <c r="I2" s="77" t="s">
        <v>80</v>
      </c>
    </row>
    <row r="3" spans="1:15">
      <c r="G3" s="76" t="s">
        <v>81</v>
      </c>
      <c r="I3" s="77" t="s">
        <v>82</v>
      </c>
      <c r="L3" t="s">
        <v>83</v>
      </c>
    </row>
    <row r="4" spans="1:15">
      <c r="A4" s="74">
        <v>2014</v>
      </c>
      <c r="G4" t="s">
        <v>84</v>
      </c>
    </row>
    <row r="5" spans="1:15">
      <c r="A5" s="74">
        <v>2015</v>
      </c>
      <c r="G5" t="s">
        <v>85</v>
      </c>
      <c r="I5" s="149" t="s">
        <v>36</v>
      </c>
      <c r="J5" s="149"/>
      <c r="K5">
        <v>66.400000000000006</v>
      </c>
      <c r="L5" t="s">
        <v>86</v>
      </c>
    </row>
    <row r="6" spans="1:15">
      <c r="A6" s="74">
        <v>2016</v>
      </c>
      <c r="B6" t="s">
        <v>4</v>
      </c>
      <c r="C6" t="s">
        <v>7</v>
      </c>
      <c r="G6" t="s">
        <v>87</v>
      </c>
      <c r="I6" s="78" t="s">
        <v>37</v>
      </c>
      <c r="J6" s="78"/>
      <c r="K6">
        <v>66.5</v>
      </c>
      <c r="L6" t="s">
        <v>86</v>
      </c>
      <c r="O6" s="77"/>
    </row>
    <row r="7" spans="1:15" ht="15.75" customHeight="1">
      <c r="A7" s="74">
        <v>2017</v>
      </c>
      <c r="B7" s="79" t="s">
        <v>88</v>
      </c>
      <c r="C7" t="s">
        <v>89</v>
      </c>
      <c r="G7" t="s">
        <v>90</v>
      </c>
      <c r="I7" s="78" t="s">
        <v>38</v>
      </c>
      <c r="J7" s="78"/>
      <c r="K7">
        <f>AVERAGE(52.7,73.86,49.29)</f>
        <v>58.616666666666667</v>
      </c>
      <c r="L7" t="s">
        <v>86</v>
      </c>
    </row>
    <row r="8" spans="1:15" ht="15" customHeight="1">
      <c r="A8" s="74">
        <v>2018</v>
      </c>
      <c r="B8" s="79" t="s">
        <v>91</v>
      </c>
      <c r="G8" t="s">
        <v>92</v>
      </c>
      <c r="I8" s="80" t="s">
        <v>39</v>
      </c>
      <c r="J8" s="80"/>
      <c r="K8">
        <v>53.11</v>
      </c>
      <c r="L8" t="s">
        <v>86</v>
      </c>
    </row>
    <row r="9" spans="1:15" ht="16.05" customHeight="1">
      <c r="A9" s="74">
        <v>2019</v>
      </c>
      <c r="B9" s="79" t="s">
        <v>93</v>
      </c>
      <c r="G9" t="s">
        <v>94</v>
      </c>
      <c r="I9" s="58" t="s">
        <v>40</v>
      </c>
      <c r="J9" s="58"/>
      <c r="K9">
        <f>AVERAGE(74.21,73.5,75.29)</f>
        <v>74.333333333333329</v>
      </c>
      <c r="L9" t="s">
        <v>86</v>
      </c>
    </row>
    <row r="10" spans="1:15" ht="16.05" customHeight="1">
      <c r="A10" s="74">
        <v>2020</v>
      </c>
      <c r="B10" s="79" t="s">
        <v>95</v>
      </c>
      <c r="G10" t="s">
        <v>96</v>
      </c>
      <c r="I10" s="58" t="s">
        <v>41</v>
      </c>
      <c r="J10" s="58"/>
      <c r="K10">
        <v>64.25</v>
      </c>
      <c r="L10" t="s">
        <v>86</v>
      </c>
    </row>
    <row r="11" spans="1:15" ht="16.05" customHeight="1">
      <c r="A11" s="74">
        <v>2021</v>
      </c>
      <c r="B11" s="79" t="s">
        <v>97</v>
      </c>
      <c r="G11" t="s">
        <v>98</v>
      </c>
      <c r="I11" s="58" t="s">
        <v>42</v>
      </c>
      <c r="J11" s="58"/>
      <c r="K11">
        <v>114.42</v>
      </c>
      <c r="L11" t="s">
        <v>86</v>
      </c>
    </row>
    <row r="12" spans="1:15" ht="15" customHeight="1">
      <c r="A12" s="74">
        <v>2022</v>
      </c>
      <c r="B12" s="79" t="s">
        <v>99</v>
      </c>
      <c r="I12" s="58" t="s">
        <v>43</v>
      </c>
      <c r="J12" s="58"/>
      <c r="K12">
        <f>AVERAGE(104.44,94.03)</f>
        <v>99.234999999999999</v>
      </c>
      <c r="L12" t="s">
        <v>86</v>
      </c>
    </row>
    <row r="13" spans="1:15" ht="31.95" customHeight="1">
      <c r="A13" s="74">
        <v>2023</v>
      </c>
      <c r="B13" s="79" t="s">
        <v>100</v>
      </c>
      <c r="I13" s="58" t="s">
        <v>44</v>
      </c>
      <c r="J13" s="58"/>
      <c r="K13">
        <v>75.349999999999994</v>
      </c>
      <c r="L13" t="s">
        <v>86</v>
      </c>
    </row>
    <row r="14" spans="1:15" ht="16.05" customHeight="1">
      <c r="A14" s="74">
        <v>2024</v>
      </c>
      <c r="B14" s="79" t="s">
        <v>101</v>
      </c>
      <c r="I14" s="80" t="s">
        <v>45</v>
      </c>
      <c r="J14" s="80"/>
      <c r="K14">
        <v>95.05</v>
      </c>
      <c r="L14" t="s">
        <v>86</v>
      </c>
    </row>
    <row r="15" spans="1:15" ht="16.05" customHeight="1">
      <c r="A15" s="74">
        <v>2025</v>
      </c>
      <c r="B15" s="79" t="s">
        <v>102</v>
      </c>
      <c r="I15" s="80" t="s">
        <v>46</v>
      </c>
      <c r="J15" s="80"/>
    </row>
    <row r="16" spans="1:15" ht="16.05" customHeight="1">
      <c r="A16" s="74">
        <v>2026</v>
      </c>
      <c r="B16" s="79" t="s">
        <v>103</v>
      </c>
      <c r="I16" s="80" t="s">
        <v>47</v>
      </c>
      <c r="J16" s="80"/>
    </row>
    <row r="17" spans="1:12" ht="16.05" customHeight="1">
      <c r="A17" s="74">
        <v>2027</v>
      </c>
      <c r="B17" s="79" t="s">
        <v>104</v>
      </c>
      <c r="I17" s="80" t="s">
        <v>48</v>
      </c>
      <c r="J17" s="80"/>
      <c r="K17">
        <v>70.66</v>
      </c>
      <c r="L17" t="s">
        <v>86</v>
      </c>
    </row>
    <row r="18" spans="1:12" ht="16.05" customHeight="1">
      <c r="A18" s="74">
        <v>2028</v>
      </c>
      <c r="B18" s="79"/>
      <c r="I18" s="80" t="s">
        <v>49</v>
      </c>
      <c r="J18" s="80"/>
      <c r="K18">
        <v>74.209999999999994</v>
      </c>
      <c r="L18" t="s">
        <v>86</v>
      </c>
    </row>
    <row r="19" spans="1:12" ht="16.05" customHeight="1">
      <c r="A19" s="74">
        <v>2029</v>
      </c>
      <c r="B19" s="79"/>
      <c r="I19" s="80" t="s">
        <v>50</v>
      </c>
      <c r="J19" s="80"/>
    </row>
    <row r="20" spans="1:12">
      <c r="A20" s="74">
        <v>2030</v>
      </c>
      <c r="B20" s="79"/>
      <c r="I20" s="78" t="s">
        <v>51</v>
      </c>
      <c r="J20" s="80"/>
      <c r="K20">
        <v>53.11</v>
      </c>
      <c r="L20" t="s">
        <v>86</v>
      </c>
    </row>
    <row r="21" spans="1:12" ht="16.05" customHeight="1">
      <c r="B21" s="79"/>
      <c r="I21" s="80" t="s">
        <v>52</v>
      </c>
      <c r="J21" s="80"/>
      <c r="K21">
        <v>53.11</v>
      </c>
      <c r="L21" t="s">
        <v>86</v>
      </c>
    </row>
    <row r="22" spans="1:12">
      <c r="I22" s="78" t="s">
        <v>53</v>
      </c>
      <c r="J22" s="80"/>
      <c r="K22">
        <v>67.34</v>
      </c>
      <c r="L22" t="s">
        <v>86</v>
      </c>
    </row>
    <row r="24" spans="1:12">
      <c r="G24" s="76" t="s">
        <v>105</v>
      </c>
    </row>
    <row r="25" spans="1:12">
      <c r="G25" s="81" t="s">
        <v>106</v>
      </c>
      <c r="I25" t="s">
        <v>107</v>
      </c>
    </row>
    <row r="26" spans="1:12">
      <c r="G26" t="s">
        <v>30</v>
      </c>
      <c r="H26" s="44">
        <v>1</v>
      </c>
      <c r="I26">
        <v>3.4119999999999999</v>
      </c>
    </row>
    <row r="27" spans="1:12">
      <c r="G27" t="s">
        <v>31</v>
      </c>
      <c r="H27" s="44">
        <v>2.8</v>
      </c>
      <c r="I27">
        <v>3.4119999999999999</v>
      </c>
    </row>
    <row r="28" spans="1:12">
      <c r="G28" t="s">
        <v>32</v>
      </c>
      <c r="H28" s="44">
        <v>0</v>
      </c>
      <c r="I28" s="44">
        <v>0</v>
      </c>
    </row>
    <row r="29" spans="1:12">
      <c r="G29" t="s">
        <v>33</v>
      </c>
      <c r="H29" s="44">
        <v>0</v>
      </c>
      <c r="I29" s="44">
        <v>0</v>
      </c>
    </row>
    <row r="30" spans="1:12">
      <c r="G30" t="s">
        <v>34</v>
      </c>
      <c r="H30" s="44">
        <v>0</v>
      </c>
      <c r="I30" s="44">
        <v>0</v>
      </c>
    </row>
    <row r="31" spans="1:12">
      <c r="G31" t="s">
        <v>35</v>
      </c>
      <c r="H31" s="44">
        <v>0</v>
      </c>
      <c r="I31" s="44">
        <v>0</v>
      </c>
    </row>
    <row r="32" spans="1:12">
      <c r="G32" t="s">
        <v>36</v>
      </c>
      <c r="H32" s="44">
        <v>1.2</v>
      </c>
      <c r="I32">
        <v>1</v>
      </c>
    </row>
    <row r="33" spans="7:9">
      <c r="G33" t="s">
        <v>37</v>
      </c>
      <c r="H33" s="44">
        <v>1.2</v>
      </c>
      <c r="I33">
        <v>1</v>
      </c>
    </row>
    <row r="34" spans="7:9">
      <c r="G34" t="s">
        <v>38</v>
      </c>
      <c r="H34" s="44">
        <v>0.91</v>
      </c>
      <c r="I34">
        <v>1</v>
      </c>
    </row>
    <row r="35" spans="7:9">
      <c r="G35" t="s">
        <v>39</v>
      </c>
      <c r="H35" s="44">
        <v>1.05</v>
      </c>
      <c r="I35">
        <v>1</v>
      </c>
    </row>
    <row r="36" spans="7:9">
      <c r="G36" t="s">
        <v>40</v>
      </c>
      <c r="H36" s="44">
        <v>1.01</v>
      </c>
      <c r="I36">
        <v>1</v>
      </c>
    </row>
    <row r="37" spans="7:9">
      <c r="G37" t="s">
        <v>41</v>
      </c>
      <c r="H37" s="44">
        <v>1.01</v>
      </c>
      <c r="I37">
        <v>1</v>
      </c>
    </row>
    <row r="38" spans="7:9">
      <c r="G38" t="s">
        <v>42</v>
      </c>
      <c r="H38" s="44">
        <v>1</v>
      </c>
      <c r="I38">
        <v>1</v>
      </c>
    </row>
    <row r="39" spans="7:9">
      <c r="G39" t="s">
        <v>43</v>
      </c>
      <c r="H39" s="44">
        <v>1</v>
      </c>
      <c r="I39">
        <v>1</v>
      </c>
    </row>
    <row r="40" spans="7:9">
      <c r="G40" t="s">
        <v>44</v>
      </c>
      <c r="H40" s="44">
        <v>1.01</v>
      </c>
      <c r="I40">
        <v>1</v>
      </c>
    </row>
    <row r="41" spans="7:9">
      <c r="G41" t="s">
        <v>45</v>
      </c>
      <c r="H41" s="44">
        <v>1</v>
      </c>
      <c r="I41">
        <v>1</v>
      </c>
    </row>
    <row r="42" spans="7:9">
      <c r="G42" t="s">
        <v>46</v>
      </c>
      <c r="H42" s="44">
        <v>1.05</v>
      </c>
      <c r="I42">
        <v>1</v>
      </c>
    </row>
    <row r="43" spans="7:9">
      <c r="G43" t="s">
        <v>47</v>
      </c>
      <c r="H43" s="44">
        <v>1</v>
      </c>
      <c r="I43">
        <v>1</v>
      </c>
    </row>
    <row r="44" spans="7:9">
      <c r="G44" t="s">
        <v>48</v>
      </c>
      <c r="H44" s="44">
        <v>1.01</v>
      </c>
      <c r="I44">
        <v>1</v>
      </c>
    </row>
    <row r="45" spans="7:9">
      <c r="G45" t="s">
        <v>49</v>
      </c>
      <c r="H45" s="44">
        <v>1.01</v>
      </c>
      <c r="I45">
        <v>1</v>
      </c>
    </row>
    <row r="46" spans="7:9">
      <c r="G46" t="s">
        <v>50</v>
      </c>
      <c r="H46" s="44">
        <v>1.01</v>
      </c>
      <c r="I46">
        <v>1</v>
      </c>
    </row>
    <row r="47" spans="7:9">
      <c r="G47" t="s">
        <v>51</v>
      </c>
      <c r="H47" s="44">
        <v>1.05</v>
      </c>
      <c r="I47">
        <v>1</v>
      </c>
    </row>
    <row r="48" spans="7:9">
      <c r="G48" t="s">
        <v>52</v>
      </c>
      <c r="H48" s="44">
        <v>1.05</v>
      </c>
      <c r="I48">
        <v>1</v>
      </c>
    </row>
    <row r="49" spans="7:9">
      <c r="G49" t="s">
        <v>53</v>
      </c>
      <c r="H49" s="44">
        <v>1.01</v>
      </c>
      <c r="I49">
        <v>1</v>
      </c>
    </row>
    <row r="50" spans="7:9">
      <c r="G50" t="s">
        <v>55</v>
      </c>
      <c r="H50" s="44">
        <v>1</v>
      </c>
      <c r="I50">
        <v>1</v>
      </c>
    </row>
    <row r="51" spans="7:9">
      <c r="G51" t="s">
        <v>55</v>
      </c>
      <c r="H51" s="44">
        <v>1</v>
      </c>
      <c r="I51">
        <v>1</v>
      </c>
    </row>
  </sheetData>
  <mergeCells count="1">
    <mergeCell ref="I5:J5"/>
  </mergeCells>
  <hyperlinks>
    <hyperlink ref="I2" r:id="rId1" xr:uid="{00000000-0004-0000-0500-000000000000}"/>
    <hyperlink ref="I3" r:id="rId2" xr:uid="{00000000-0004-0000-0500-000001000000}"/>
    <hyperlink ref="G25" r:id="rId3" xr:uid="{00000000-0004-0000-0500-000002000000}"/>
  </hyperlinks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Y60"/>
  <sheetViews>
    <sheetView zoomScale="80" zoomScaleNormal="80" workbookViewId="0">
      <pane xSplit="2" ySplit="4" topLeftCell="C5" activePane="bottomRight" state="frozen"/>
      <selection pane="topRight"/>
      <selection pane="bottomLeft"/>
      <selection pane="bottomRight" activeCell="A53" sqref="A53"/>
    </sheetView>
  </sheetViews>
  <sheetFormatPr defaultColWidth="9.33203125" defaultRowHeight="14.4"/>
  <cols>
    <col min="1" max="1" width="49.6640625" style="82" customWidth="1"/>
    <col min="2" max="2" width="12" style="83" customWidth="1"/>
    <col min="3" max="25" width="12" style="84" customWidth="1"/>
  </cols>
  <sheetData>
    <row r="1" spans="1:25">
      <c r="A1" s="85" t="s">
        <v>108</v>
      </c>
      <c r="B1" s="77" t="s">
        <v>109</v>
      </c>
    </row>
    <row r="2" spans="1:25" ht="19.05" customHeight="1">
      <c r="A2" s="151" t="s">
        <v>110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86"/>
    </row>
    <row r="3" spans="1:25" ht="19.9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86"/>
    </row>
    <row r="4" spans="1:25" ht="16.95" customHeight="1">
      <c r="A4" s="87" t="s">
        <v>111</v>
      </c>
      <c r="B4" s="88" t="s">
        <v>112</v>
      </c>
      <c r="C4" s="89" t="s">
        <v>113</v>
      </c>
      <c r="D4" s="89" t="s">
        <v>114</v>
      </c>
      <c r="E4" s="89" t="s">
        <v>115</v>
      </c>
      <c r="F4" s="89" t="s">
        <v>116</v>
      </c>
      <c r="G4" s="89" t="s">
        <v>117</v>
      </c>
      <c r="H4" s="89" t="s">
        <v>118</v>
      </c>
      <c r="I4" s="89" t="s">
        <v>119</v>
      </c>
      <c r="J4" s="89" t="s">
        <v>120</v>
      </c>
      <c r="K4" s="89" t="s">
        <v>121</v>
      </c>
      <c r="L4" s="89" t="s">
        <v>122</v>
      </c>
      <c r="M4" s="89" t="s">
        <v>123</v>
      </c>
      <c r="N4" s="89" t="s">
        <v>124</v>
      </c>
      <c r="O4" s="89" t="s">
        <v>125</v>
      </c>
      <c r="P4" s="89" t="s">
        <v>126</v>
      </c>
      <c r="Q4" s="89" t="s">
        <v>127</v>
      </c>
      <c r="R4" s="89" t="s">
        <v>128</v>
      </c>
      <c r="S4" s="89" t="s">
        <v>129</v>
      </c>
      <c r="T4" s="89" t="s">
        <v>130</v>
      </c>
      <c r="U4" s="89" t="s">
        <v>131</v>
      </c>
      <c r="V4" s="89" t="s">
        <v>132</v>
      </c>
      <c r="W4" s="89" t="s">
        <v>133</v>
      </c>
      <c r="X4" s="89" t="s">
        <v>134</v>
      </c>
      <c r="Y4" s="89" t="s">
        <v>135</v>
      </c>
    </row>
    <row r="5" spans="1:25" ht="16.05" customHeight="1">
      <c r="A5" s="90" t="s">
        <v>136</v>
      </c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</row>
    <row r="6" spans="1:25" ht="16.95" customHeight="1">
      <c r="A6" s="93" t="s">
        <v>137</v>
      </c>
      <c r="B6" s="94" t="s">
        <v>138</v>
      </c>
      <c r="C6" s="95">
        <v>53.072000000000003</v>
      </c>
      <c r="D6" s="95">
        <v>53.072000000000003</v>
      </c>
      <c r="E6" s="95">
        <v>53.072000000000003</v>
      </c>
      <c r="F6" s="95">
        <v>53.072000000000003</v>
      </c>
      <c r="G6" s="95">
        <v>53.072000000000003</v>
      </c>
      <c r="H6" s="95">
        <v>53.072000000000003</v>
      </c>
      <c r="I6" s="95">
        <v>53.072000000000003</v>
      </c>
      <c r="J6" s="95">
        <v>53.072000000000003</v>
      </c>
      <c r="K6" s="95">
        <v>53.072000000000003</v>
      </c>
      <c r="L6" s="95">
        <v>53.072000000000003</v>
      </c>
      <c r="M6" s="95">
        <v>53.072000000000003</v>
      </c>
      <c r="N6" s="95">
        <v>53.072000000000003</v>
      </c>
      <c r="O6" s="95">
        <v>53.072000000000003</v>
      </c>
      <c r="P6" s="95">
        <v>53.072000000000003</v>
      </c>
      <c r="Q6" s="95">
        <v>53.114800000000002</v>
      </c>
      <c r="R6" s="95">
        <v>53.114800000000002</v>
      </c>
      <c r="S6" s="95">
        <v>53.114800000000002</v>
      </c>
      <c r="T6" s="95">
        <v>53.114800000000002</v>
      </c>
      <c r="U6" s="95">
        <v>53.114800000000002</v>
      </c>
      <c r="V6" s="95">
        <v>53.114800000000002</v>
      </c>
      <c r="W6" s="95">
        <v>53.114800000000002</v>
      </c>
      <c r="X6" s="95">
        <v>53.114800000000002</v>
      </c>
      <c r="Y6" s="95">
        <v>53.114800000000002</v>
      </c>
    </row>
    <row r="7" spans="1:25" ht="16.95" customHeight="1">
      <c r="A7" s="93" t="s">
        <v>139</v>
      </c>
      <c r="B7" s="94" t="s">
        <v>138</v>
      </c>
      <c r="C7" s="95">
        <v>61.495620000000002</v>
      </c>
      <c r="D7" s="95">
        <v>61.495620000000002</v>
      </c>
      <c r="E7" s="95">
        <v>61.495620000000002</v>
      </c>
      <c r="F7" s="95">
        <v>61.495620000000002</v>
      </c>
      <c r="G7" s="95">
        <v>61.495620000000002</v>
      </c>
      <c r="H7" s="95">
        <v>61.495620000000002</v>
      </c>
      <c r="I7" s="95">
        <v>61.495620000000002</v>
      </c>
      <c r="J7" s="95">
        <v>61.495620000000002</v>
      </c>
      <c r="K7" s="95">
        <v>61.495620000000002</v>
      </c>
      <c r="L7" s="95">
        <v>61.495620000000002</v>
      </c>
      <c r="M7" s="95">
        <v>61.495620000000002</v>
      </c>
      <c r="N7" s="95">
        <v>61.495620000000002</v>
      </c>
      <c r="O7" s="95">
        <v>61.495620000000002</v>
      </c>
      <c r="P7" s="95">
        <v>61.495620000000002</v>
      </c>
      <c r="Q7" s="95">
        <v>61.495620000000002</v>
      </c>
      <c r="R7" s="95">
        <v>64.248000000000005</v>
      </c>
      <c r="S7" s="95">
        <v>64.248000000000005</v>
      </c>
      <c r="T7" s="95">
        <v>64.248000000000005</v>
      </c>
      <c r="U7" s="95">
        <v>64.248000000000005</v>
      </c>
      <c r="V7" s="95">
        <v>64.248000000000005</v>
      </c>
      <c r="W7" s="95">
        <v>64.248000000000005</v>
      </c>
      <c r="X7" s="95">
        <v>64.248000000000005</v>
      </c>
      <c r="Y7" s="95">
        <v>64.248000000000005</v>
      </c>
    </row>
    <row r="8" spans="1:25" ht="16.95" customHeight="1">
      <c r="A8" s="93" t="s">
        <v>140</v>
      </c>
      <c r="B8" s="94" t="s">
        <v>138</v>
      </c>
      <c r="C8" s="95">
        <v>73.498999999999995</v>
      </c>
      <c r="D8" s="95">
        <v>73.498999999999995</v>
      </c>
      <c r="E8" s="95">
        <v>73.498999999999995</v>
      </c>
      <c r="F8" s="95">
        <v>73.498999999999995</v>
      </c>
      <c r="G8" s="95">
        <v>73.498999999999995</v>
      </c>
      <c r="H8" s="95">
        <v>73.498999999999995</v>
      </c>
      <c r="I8" s="95">
        <v>73.498999999999995</v>
      </c>
      <c r="J8" s="95">
        <v>73.498999999999995</v>
      </c>
      <c r="K8" s="95">
        <v>73.498999999999995</v>
      </c>
      <c r="L8" s="95">
        <v>73.498999999999995</v>
      </c>
      <c r="M8" s="95">
        <v>73.498999999999995</v>
      </c>
      <c r="N8" s="95">
        <v>73.498999999999995</v>
      </c>
      <c r="O8" s="95">
        <v>73.498999999999995</v>
      </c>
      <c r="P8" s="95">
        <v>73.498999999999995</v>
      </c>
      <c r="Q8" s="95">
        <v>73.498999999999995</v>
      </c>
      <c r="R8" s="95">
        <v>73.498999999999995</v>
      </c>
      <c r="S8" s="95">
        <v>73.498999999999995</v>
      </c>
      <c r="T8" s="95">
        <v>73.498999999999995</v>
      </c>
      <c r="U8" s="95">
        <v>73.498999999999995</v>
      </c>
      <c r="V8" s="95">
        <v>73.498999999999995</v>
      </c>
      <c r="W8" s="95">
        <v>73.498999999999995</v>
      </c>
      <c r="X8" s="95">
        <v>73.498999999999995</v>
      </c>
      <c r="Y8" s="95">
        <v>73.498999999999995</v>
      </c>
    </row>
    <row r="9" spans="1:25" ht="16.95" customHeight="1">
      <c r="A9" s="93" t="s">
        <v>141</v>
      </c>
      <c r="B9" s="94" t="s">
        <v>138</v>
      </c>
      <c r="C9" s="95">
        <v>74.209000000000003</v>
      </c>
      <c r="D9" s="95">
        <v>74.209000000000003</v>
      </c>
      <c r="E9" s="95">
        <v>74.209000000000003</v>
      </c>
      <c r="F9" s="95">
        <v>74.209000000000003</v>
      </c>
      <c r="G9" s="95">
        <v>74.209000000000003</v>
      </c>
      <c r="H9" s="95">
        <v>74.209000000000003</v>
      </c>
      <c r="I9" s="95">
        <v>74.209000000000003</v>
      </c>
      <c r="J9" s="95">
        <v>74.209000000000003</v>
      </c>
      <c r="K9" s="95">
        <v>74.209000000000003</v>
      </c>
      <c r="L9" s="95">
        <v>74.209000000000003</v>
      </c>
      <c r="M9" s="95">
        <v>74.209000000000003</v>
      </c>
      <c r="N9" s="95">
        <v>74.209000000000003</v>
      </c>
      <c r="O9" s="95">
        <v>74.209000000000003</v>
      </c>
      <c r="P9" s="95">
        <v>74.209000000000003</v>
      </c>
      <c r="Q9" s="95">
        <v>74.209000000000003</v>
      </c>
      <c r="R9" s="95">
        <v>74.209000000000003</v>
      </c>
      <c r="S9" s="95">
        <v>74.209000000000003</v>
      </c>
      <c r="T9" s="95">
        <v>74.209000000000003</v>
      </c>
      <c r="U9" s="95">
        <v>74.209000000000003</v>
      </c>
      <c r="V9" s="95">
        <v>74.209000000000003</v>
      </c>
      <c r="W9" s="95">
        <v>74.209000000000003</v>
      </c>
      <c r="X9" s="95">
        <v>74.209000000000003</v>
      </c>
      <c r="Y9" s="95">
        <v>74.209000000000003</v>
      </c>
    </row>
    <row r="10" spans="1:25" ht="16.95" customHeight="1">
      <c r="A10" s="93" t="s">
        <v>142</v>
      </c>
      <c r="B10" s="94" t="s">
        <v>138</v>
      </c>
      <c r="C10" s="95">
        <v>75.289000000000001</v>
      </c>
      <c r="D10" s="95">
        <v>75.289000000000001</v>
      </c>
      <c r="E10" s="95">
        <v>75.289000000000001</v>
      </c>
      <c r="F10" s="95">
        <v>75.289000000000001</v>
      </c>
      <c r="G10" s="95">
        <v>75.289000000000001</v>
      </c>
      <c r="H10" s="95">
        <v>75.289000000000001</v>
      </c>
      <c r="I10" s="95">
        <v>75.289000000000001</v>
      </c>
      <c r="J10" s="95">
        <v>75.289000000000001</v>
      </c>
      <c r="K10" s="95">
        <v>75.289000000000001</v>
      </c>
      <c r="L10" s="95">
        <v>75.289000000000001</v>
      </c>
      <c r="M10" s="95">
        <v>75.289000000000001</v>
      </c>
      <c r="N10" s="95">
        <v>75.289000000000001</v>
      </c>
      <c r="O10" s="95">
        <v>75.289000000000001</v>
      </c>
      <c r="P10" s="95">
        <v>75.289000000000001</v>
      </c>
      <c r="Q10" s="95">
        <v>75.289000000000001</v>
      </c>
      <c r="R10" s="95">
        <v>75.289000000000001</v>
      </c>
      <c r="S10" s="95">
        <v>75.289000000000001</v>
      </c>
      <c r="T10" s="95">
        <v>75.289000000000001</v>
      </c>
      <c r="U10" s="95">
        <v>75.289000000000001</v>
      </c>
      <c r="V10" s="95">
        <v>75.289000000000001</v>
      </c>
      <c r="W10" s="95">
        <v>75.289000000000001</v>
      </c>
      <c r="X10" s="95">
        <v>75.289000000000001</v>
      </c>
      <c r="Y10" s="95">
        <v>75.289000000000001</v>
      </c>
    </row>
    <row r="11" spans="1:25" ht="16.95" customHeight="1">
      <c r="A11" s="93" t="s">
        <v>143</v>
      </c>
      <c r="B11" s="94" t="s">
        <v>138</v>
      </c>
      <c r="C11" s="95">
        <v>75.349000000000004</v>
      </c>
      <c r="D11" s="95">
        <v>75.349000000000004</v>
      </c>
      <c r="E11" s="95">
        <v>75.349000000000004</v>
      </c>
      <c r="F11" s="95">
        <v>75.349000000000004</v>
      </c>
      <c r="G11" s="95">
        <v>75.349000000000004</v>
      </c>
      <c r="H11" s="95">
        <v>75.349000000000004</v>
      </c>
      <c r="I11" s="95">
        <v>75.349000000000004</v>
      </c>
      <c r="J11" s="95">
        <v>75.349000000000004</v>
      </c>
      <c r="K11" s="95">
        <v>75.349000000000004</v>
      </c>
      <c r="L11" s="95">
        <v>75.349000000000004</v>
      </c>
      <c r="M11" s="95">
        <v>75.349000000000004</v>
      </c>
      <c r="N11" s="95">
        <v>75.349000000000004</v>
      </c>
      <c r="O11" s="95">
        <v>75.349000000000004</v>
      </c>
      <c r="P11" s="95">
        <v>75.349000000000004</v>
      </c>
      <c r="Q11" s="95">
        <v>75.349000000000004</v>
      </c>
      <c r="R11" s="95">
        <v>75.349000000000004</v>
      </c>
      <c r="S11" s="95">
        <v>75.349000000000004</v>
      </c>
      <c r="T11" s="95">
        <v>75.349000000000004</v>
      </c>
      <c r="U11" s="95">
        <v>75.349000000000004</v>
      </c>
      <c r="V11" s="95">
        <v>75.349000000000004</v>
      </c>
      <c r="W11" s="95">
        <v>75.349000000000004</v>
      </c>
      <c r="X11" s="95">
        <v>75.349000000000004</v>
      </c>
      <c r="Y11" s="95">
        <v>75.349000000000004</v>
      </c>
    </row>
    <row r="12" spans="1:25" ht="16.95" customHeight="1">
      <c r="A12" s="93" t="s">
        <v>144</v>
      </c>
      <c r="B12" s="94" t="s">
        <v>138</v>
      </c>
      <c r="C12" s="95">
        <v>74.209000000000003</v>
      </c>
      <c r="D12" s="95">
        <v>74.209000000000003</v>
      </c>
      <c r="E12" s="95">
        <v>74.209000000000003</v>
      </c>
      <c r="F12" s="95">
        <v>74.209000000000003</v>
      </c>
      <c r="G12" s="95">
        <v>74.209000000000003</v>
      </c>
      <c r="H12" s="95">
        <v>74.209000000000003</v>
      </c>
      <c r="I12" s="95">
        <v>74.209000000000003</v>
      </c>
      <c r="J12" s="95">
        <v>74.209000000000003</v>
      </c>
      <c r="K12" s="95">
        <v>74.209000000000003</v>
      </c>
      <c r="L12" s="95">
        <v>74.209000000000003</v>
      </c>
      <c r="M12" s="95">
        <v>74.209000000000003</v>
      </c>
      <c r="N12" s="95">
        <v>74.209000000000003</v>
      </c>
      <c r="O12" s="95">
        <v>74.209000000000003</v>
      </c>
      <c r="P12" s="95">
        <v>74.209000000000003</v>
      </c>
      <c r="Q12" s="95">
        <v>74.209000000000003</v>
      </c>
      <c r="R12" s="95">
        <v>74.209000000000003</v>
      </c>
      <c r="S12" s="95">
        <v>74.209000000000003</v>
      </c>
      <c r="T12" s="95">
        <v>74.209000000000003</v>
      </c>
      <c r="U12" s="95">
        <v>74.209000000000003</v>
      </c>
      <c r="V12" s="95">
        <v>74.209000000000003</v>
      </c>
      <c r="W12" s="95">
        <v>74.209000000000003</v>
      </c>
      <c r="X12" s="95">
        <v>74.209000000000003</v>
      </c>
      <c r="Y12" s="95">
        <v>74.209000000000003</v>
      </c>
    </row>
    <row r="13" spans="1:25" ht="16.95" customHeight="1">
      <c r="A13" s="93" t="s">
        <v>145</v>
      </c>
      <c r="B13" s="94" t="s">
        <v>138</v>
      </c>
      <c r="C13" s="95">
        <v>104.267</v>
      </c>
      <c r="D13" s="95">
        <v>104.267</v>
      </c>
      <c r="E13" s="95">
        <v>104.267</v>
      </c>
      <c r="F13" s="95">
        <v>104.267</v>
      </c>
      <c r="G13" s="95">
        <v>104.267</v>
      </c>
      <c r="H13" s="95">
        <v>104.267</v>
      </c>
      <c r="I13" s="95">
        <v>104.267</v>
      </c>
      <c r="J13" s="95">
        <v>104.267</v>
      </c>
      <c r="K13" s="95">
        <v>104.267</v>
      </c>
      <c r="L13" s="95">
        <v>104.267</v>
      </c>
      <c r="M13" s="95">
        <v>104.267</v>
      </c>
      <c r="N13" s="95">
        <v>104.267</v>
      </c>
      <c r="O13" s="95">
        <v>104.267</v>
      </c>
      <c r="P13" s="95">
        <v>104.267</v>
      </c>
      <c r="Q13" s="95">
        <v>104.4418</v>
      </c>
      <c r="R13" s="95">
        <v>104.4418</v>
      </c>
      <c r="S13" s="95">
        <v>104.4418</v>
      </c>
      <c r="T13" s="95">
        <v>104.4418</v>
      </c>
      <c r="U13" s="95">
        <v>104.4418</v>
      </c>
      <c r="V13" s="95">
        <v>104.4418</v>
      </c>
      <c r="W13" s="95">
        <v>104.4418</v>
      </c>
      <c r="X13" s="95">
        <v>104.4418</v>
      </c>
      <c r="Y13" s="95">
        <v>104.4418</v>
      </c>
    </row>
    <row r="14" spans="1:25" ht="16.95" customHeight="1">
      <c r="A14" s="93" t="s">
        <v>146</v>
      </c>
      <c r="B14" s="94" t="s">
        <v>138</v>
      </c>
      <c r="C14" s="95">
        <v>94.126999999999995</v>
      </c>
      <c r="D14" s="95">
        <v>94.126999999999995</v>
      </c>
      <c r="E14" s="95">
        <v>94.126999999999995</v>
      </c>
      <c r="F14" s="95">
        <v>94.126999999999995</v>
      </c>
      <c r="G14" s="95">
        <v>94.126999999999995</v>
      </c>
      <c r="H14" s="95">
        <v>94.126999999999995</v>
      </c>
      <c r="I14" s="95">
        <v>94.126999999999995</v>
      </c>
      <c r="J14" s="95">
        <v>94.126999999999995</v>
      </c>
      <c r="K14" s="95">
        <v>94.126999999999995</v>
      </c>
      <c r="L14" s="95">
        <v>94.126999999999995</v>
      </c>
      <c r="M14" s="95">
        <v>94.126999999999995</v>
      </c>
      <c r="N14" s="95">
        <v>94.126999999999995</v>
      </c>
      <c r="O14" s="95">
        <v>94.126999999999995</v>
      </c>
      <c r="P14" s="95">
        <v>94.126999999999995</v>
      </c>
      <c r="Q14" s="95">
        <v>94.031800000000004</v>
      </c>
      <c r="R14" s="95">
        <v>94.031800000000004</v>
      </c>
      <c r="S14" s="95">
        <v>94.031800000000004</v>
      </c>
      <c r="T14" s="95">
        <v>94.031800000000004</v>
      </c>
      <c r="U14" s="95">
        <v>94.031800000000004</v>
      </c>
      <c r="V14" s="95">
        <v>94.031800000000004</v>
      </c>
      <c r="W14" s="95">
        <v>94.031800000000004</v>
      </c>
      <c r="X14" s="95">
        <v>94.031800000000004</v>
      </c>
      <c r="Y14" s="95">
        <v>94.031800000000004</v>
      </c>
    </row>
    <row r="15" spans="1:25" ht="16.95" customHeight="1">
      <c r="A15" s="93" t="s">
        <v>147</v>
      </c>
      <c r="B15" s="94" t="s">
        <v>138</v>
      </c>
      <c r="C15" s="95">
        <v>102.767</v>
      </c>
      <c r="D15" s="95">
        <v>102.767</v>
      </c>
      <c r="E15" s="95">
        <v>102.767</v>
      </c>
      <c r="F15" s="95">
        <v>102.767</v>
      </c>
      <c r="G15" s="95">
        <v>102.767</v>
      </c>
      <c r="H15" s="95">
        <v>102.767</v>
      </c>
      <c r="I15" s="95">
        <v>102.767</v>
      </c>
      <c r="J15" s="95">
        <v>102.767</v>
      </c>
      <c r="K15" s="95">
        <v>102.767</v>
      </c>
      <c r="L15" s="95">
        <v>102.767</v>
      </c>
      <c r="M15" s="95">
        <v>102.767</v>
      </c>
      <c r="N15" s="95">
        <v>102.767</v>
      </c>
      <c r="O15" s="95">
        <v>102.767</v>
      </c>
      <c r="P15" s="95">
        <v>102.767</v>
      </c>
      <c r="Q15" s="95">
        <v>114.4218</v>
      </c>
      <c r="R15" s="95">
        <v>114.4218</v>
      </c>
      <c r="S15" s="95">
        <v>114.4218</v>
      </c>
      <c r="T15" s="95">
        <v>114.4218</v>
      </c>
      <c r="U15" s="95">
        <v>114.4218</v>
      </c>
      <c r="V15" s="95">
        <v>114.4218</v>
      </c>
      <c r="W15" s="95">
        <v>114.4218</v>
      </c>
      <c r="X15" s="95">
        <v>114.4218</v>
      </c>
      <c r="Y15" s="95">
        <v>114.4218</v>
      </c>
    </row>
    <row r="16" spans="1:25" ht="18" customHeight="1">
      <c r="A16" s="93" t="s">
        <v>148</v>
      </c>
      <c r="B16" s="94" t="s">
        <v>138</v>
      </c>
      <c r="C16" s="95">
        <v>77.69</v>
      </c>
      <c r="D16" s="95">
        <v>77.69</v>
      </c>
      <c r="E16" s="95">
        <v>77.69</v>
      </c>
      <c r="F16" s="95">
        <v>77.69</v>
      </c>
      <c r="G16" s="95">
        <v>77.69</v>
      </c>
      <c r="H16" s="95">
        <v>77.69</v>
      </c>
      <c r="I16" s="95">
        <v>77.69</v>
      </c>
      <c r="J16" s="95">
        <v>77.69</v>
      </c>
      <c r="K16" s="95">
        <v>77.69</v>
      </c>
      <c r="L16" s="95">
        <v>77.69</v>
      </c>
      <c r="M16" s="95">
        <v>77.69</v>
      </c>
      <c r="N16" s="95">
        <v>77.69</v>
      </c>
      <c r="O16" s="95">
        <v>77.69</v>
      </c>
      <c r="P16" s="95">
        <v>77.69</v>
      </c>
      <c r="Q16" s="95">
        <v>77.69</v>
      </c>
      <c r="R16" s="95">
        <v>77.69</v>
      </c>
      <c r="S16" s="95">
        <v>77.69</v>
      </c>
      <c r="T16" s="95">
        <v>77.69</v>
      </c>
      <c r="U16" s="95">
        <v>77.69</v>
      </c>
      <c r="V16" s="95">
        <v>77.69</v>
      </c>
      <c r="W16" s="95">
        <v>77.69</v>
      </c>
      <c r="X16" s="95">
        <v>77.69</v>
      </c>
      <c r="Y16" s="95">
        <v>77.69</v>
      </c>
    </row>
    <row r="17" spans="1:25" ht="16.05" customHeight="1">
      <c r="A17" s="90" t="s">
        <v>149</v>
      </c>
      <c r="B17" s="96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</row>
    <row r="18" spans="1:25" ht="16.95" customHeight="1">
      <c r="A18" s="93" t="s">
        <v>150</v>
      </c>
      <c r="B18" s="94" t="s">
        <v>138</v>
      </c>
      <c r="C18" s="95">
        <v>88.538478999999995</v>
      </c>
      <c r="D18" s="95">
        <v>88.538478999999995</v>
      </c>
      <c r="E18" s="95">
        <v>88.538478999999995</v>
      </c>
      <c r="F18" s="95">
        <v>88.538478999999995</v>
      </c>
      <c r="G18" s="95">
        <v>88.538478999999995</v>
      </c>
      <c r="H18" s="95">
        <v>88.538478999999995</v>
      </c>
      <c r="I18" s="95">
        <v>88.538478999999995</v>
      </c>
      <c r="J18" s="95">
        <v>88.538478999999995</v>
      </c>
      <c r="K18" s="95">
        <v>88.538478999999995</v>
      </c>
      <c r="L18" s="95">
        <v>88.538478999999995</v>
      </c>
      <c r="M18" s="95">
        <v>88.538478999999995</v>
      </c>
      <c r="N18" s="95">
        <v>88.538478999999995</v>
      </c>
      <c r="O18" s="95">
        <v>88.538478999999995</v>
      </c>
      <c r="P18" s="95">
        <v>88.538478999999995</v>
      </c>
      <c r="Q18" s="95">
        <v>66.398499999999999</v>
      </c>
      <c r="R18" s="95">
        <v>66.398499999999999</v>
      </c>
      <c r="S18" s="95">
        <v>66.398499999999999</v>
      </c>
      <c r="T18" s="95">
        <v>66.398499999999999</v>
      </c>
      <c r="U18" s="95">
        <v>66.398499999999999</v>
      </c>
      <c r="V18" s="95">
        <v>66.398499999999999</v>
      </c>
      <c r="W18" s="95">
        <v>66.398499999999999</v>
      </c>
      <c r="X18" s="95">
        <v>66.398499999999999</v>
      </c>
      <c r="Y18" s="95">
        <v>66.398499999999999</v>
      </c>
    </row>
    <row r="19" spans="1:25" ht="16.95" customHeight="1">
      <c r="A19" s="93" t="s">
        <v>151</v>
      </c>
      <c r="B19" s="94" t="s">
        <v>138</v>
      </c>
      <c r="C19" s="95">
        <v>88.538478999999995</v>
      </c>
      <c r="D19" s="95">
        <v>88.538478999999995</v>
      </c>
      <c r="E19" s="95">
        <v>88.538478999999995</v>
      </c>
      <c r="F19" s="95">
        <v>88.538478999999995</v>
      </c>
      <c r="G19" s="95">
        <v>88.538478999999995</v>
      </c>
      <c r="H19" s="95">
        <v>88.538478999999995</v>
      </c>
      <c r="I19" s="95">
        <v>88.538478999999995</v>
      </c>
      <c r="J19" s="95">
        <v>88.538478999999995</v>
      </c>
      <c r="K19" s="95">
        <v>88.538478999999995</v>
      </c>
      <c r="L19" s="95">
        <v>88.538478999999995</v>
      </c>
      <c r="M19" s="95">
        <v>88.538478999999995</v>
      </c>
      <c r="N19" s="95">
        <v>88.538478999999995</v>
      </c>
      <c r="O19" s="95">
        <v>88.538478999999995</v>
      </c>
      <c r="P19" s="95">
        <v>88.538478999999995</v>
      </c>
      <c r="Q19" s="95">
        <v>66.398499999999999</v>
      </c>
      <c r="R19" s="95">
        <v>66.398499999999999</v>
      </c>
      <c r="S19" s="95">
        <v>66.398499999999999</v>
      </c>
      <c r="T19" s="95">
        <v>66.398499999999999</v>
      </c>
      <c r="U19" s="95">
        <v>66.398499999999999</v>
      </c>
      <c r="V19" s="95">
        <v>66.398499999999999</v>
      </c>
      <c r="W19" s="95">
        <v>66.398499999999999</v>
      </c>
      <c r="X19" s="95">
        <v>66.398499999999999</v>
      </c>
      <c r="Y19" s="95">
        <v>66.398499999999999</v>
      </c>
    </row>
    <row r="20" spans="1:25" ht="16.95" customHeight="1">
      <c r="A20" s="93" t="s">
        <v>152</v>
      </c>
      <c r="B20" s="94" t="s">
        <v>138</v>
      </c>
      <c r="C20" s="95">
        <v>52.704749999999997</v>
      </c>
      <c r="D20" s="95">
        <v>52.704749999999997</v>
      </c>
      <c r="E20" s="95">
        <v>52.704749999999997</v>
      </c>
      <c r="F20" s="95">
        <v>52.704749999999997</v>
      </c>
      <c r="G20" s="95">
        <v>52.704749999999997</v>
      </c>
      <c r="H20" s="95">
        <v>52.704749999999997</v>
      </c>
      <c r="I20" s="95">
        <v>52.704749999999997</v>
      </c>
      <c r="J20" s="95">
        <v>52.704749999999997</v>
      </c>
      <c r="K20" s="95">
        <v>52.704749999999997</v>
      </c>
      <c r="L20" s="95">
        <v>52.704749999999997</v>
      </c>
      <c r="M20" s="95">
        <v>52.704749999999997</v>
      </c>
      <c r="N20" s="95">
        <v>52.704749999999997</v>
      </c>
      <c r="O20" s="95">
        <v>52.704749999999997</v>
      </c>
      <c r="P20" s="95">
        <v>52.704749999999997</v>
      </c>
      <c r="Q20" s="95">
        <v>52.704749999999997</v>
      </c>
      <c r="R20" s="95">
        <v>52.700416670000003</v>
      </c>
      <c r="S20" s="95">
        <v>52.700416670000003</v>
      </c>
      <c r="T20" s="95">
        <v>52.700416670000003</v>
      </c>
      <c r="U20" s="95">
        <v>52.700416670000003</v>
      </c>
      <c r="V20" s="95">
        <v>52.700416670000003</v>
      </c>
      <c r="W20" s="95">
        <v>52.700416670000003</v>
      </c>
      <c r="X20" s="95">
        <v>52.700416670000003</v>
      </c>
      <c r="Y20" s="95">
        <v>52.700416670000003</v>
      </c>
    </row>
    <row r="21" spans="1:25" ht="16.95" customHeight="1">
      <c r="A21" s="93" t="s">
        <v>153</v>
      </c>
      <c r="B21" s="94" t="s">
        <v>138</v>
      </c>
      <c r="C21" s="95">
        <v>73.863583329999997</v>
      </c>
      <c r="D21" s="95">
        <v>73.863583329999997</v>
      </c>
      <c r="E21" s="95">
        <v>73.863583329999997</v>
      </c>
      <c r="F21" s="95">
        <v>73.863583329999997</v>
      </c>
      <c r="G21" s="95">
        <v>73.863583329999997</v>
      </c>
      <c r="H21" s="95">
        <v>73.863583329999997</v>
      </c>
      <c r="I21" s="95">
        <v>73.863583329999997</v>
      </c>
      <c r="J21" s="95">
        <v>73.863583329999997</v>
      </c>
      <c r="K21" s="95">
        <v>73.863583329999997</v>
      </c>
      <c r="L21" s="95">
        <v>73.863583329999997</v>
      </c>
      <c r="M21" s="95">
        <v>73.863583329999997</v>
      </c>
      <c r="N21" s="95">
        <v>73.863583329999997</v>
      </c>
      <c r="O21" s="95">
        <v>73.863583329999997</v>
      </c>
      <c r="P21" s="95">
        <v>73.863583329999997</v>
      </c>
      <c r="Q21" s="95">
        <v>73.863583329999997</v>
      </c>
      <c r="R21" s="95">
        <v>73.889250000000004</v>
      </c>
      <c r="S21" s="95">
        <v>73.889250000000004</v>
      </c>
      <c r="T21" s="95">
        <v>73.889250000000004</v>
      </c>
      <c r="U21" s="95">
        <v>73.889250000000004</v>
      </c>
      <c r="V21" s="95">
        <v>73.889250000000004</v>
      </c>
      <c r="W21" s="95">
        <v>73.889250000000004</v>
      </c>
      <c r="X21" s="95">
        <v>73.889250000000004</v>
      </c>
      <c r="Y21" s="95">
        <v>73.889250000000004</v>
      </c>
    </row>
    <row r="22" spans="1:25" ht="18" customHeight="1">
      <c r="A22" s="93" t="s">
        <v>154</v>
      </c>
      <c r="B22" s="94" t="s">
        <v>138</v>
      </c>
      <c r="C22" s="95">
        <v>49.290500000000002</v>
      </c>
      <c r="D22" s="95">
        <v>49.290500000000002</v>
      </c>
      <c r="E22" s="95">
        <v>49.290500000000002</v>
      </c>
      <c r="F22" s="95">
        <v>49.290500000000002</v>
      </c>
      <c r="G22" s="95">
        <v>49.290500000000002</v>
      </c>
      <c r="H22" s="95">
        <v>49.290500000000002</v>
      </c>
      <c r="I22" s="95">
        <v>49.290500000000002</v>
      </c>
      <c r="J22" s="95">
        <v>49.290500000000002</v>
      </c>
      <c r="K22" s="95">
        <v>49.290500000000002</v>
      </c>
      <c r="L22" s="95">
        <v>49.290500000000002</v>
      </c>
      <c r="M22" s="95">
        <v>49.290500000000002</v>
      </c>
      <c r="N22" s="95">
        <v>49.290500000000002</v>
      </c>
      <c r="O22" s="95">
        <v>49.290500000000002</v>
      </c>
      <c r="P22" s="95">
        <v>49.290500000000002</v>
      </c>
      <c r="Q22" s="95">
        <v>49.290500000000002</v>
      </c>
      <c r="R22" s="95">
        <v>49.3081666666667</v>
      </c>
      <c r="S22" s="95">
        <v>49.3081666666667</v>
      </c>
      <c r="T22" s="95">
        <v>49.3081666666667</v>
      </c>
      <c r="U22" s="95">
        <v>49.3081666666667</v>
      </c>
      <c r="V22" s="95">
        <v>49.3081666666667</v>
      </c>
      <c r="W22" s="95">
        <v>49.3081666666667</v>
      </c>
      <c r="X22" s="95">
        <v>49.3081666666667</v>
      </c>
      <c r="Y22" s="95">
        <v>49.3081666666667</v>
      </c>
    </row>
    <row r="23" spans="1:25" ht="16.05" customHeight="1">
      <c r="A23" s="90" t="s">
        <v>155</v>
      </c>
      <c r="B23" s="96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  <row r="24" spans="1:25" ht="18" customHeight="1">
      <c r="A24" s="98" t="s">
        <v>156</v>
      </c>
      <c r="B24" s="99" t="s">
        <v>138</v>
      </c>
      <c r="C24" s="100">
        <v>95.774000000000001</v>
      </c>
      <c r="D24" s="100">
        <v>95.774000000000001</v>
      </c>
      <c r="E24" s="100">
        <v>95.774000000000001</v>
      </c>
      <c r="F24" s="100">
        <v>95.774000000000001</v>
      </c>
      <c r="G24" s="100">
        <v>95.774000000000001</v>
      </c>
      <c r="H24" s="100">
        <v>95.774000000000001</v>
      </c>
      <c r="I24" s="100">
        <v>95.774000000000001</v>
      </c>
      <c r="J24" s="100">
        <v>95.774000000000001</v>
      </c>
      <c r="K24" s="100">
        <v>95.774000000000001</v>
      </c>
      <c r="L24" s="100">
        <v>95.774000000000001</v>
      </c>
      <c r="M24" s="100">
        <v>95.774000000000001</v>
      </c>
      <c r="N24" s="100">
        <v>95.774000000000001</v>
      </c>
      <c r="O24" s="100">
        <v>95.774000000000001</v>
      </c>
      <c r="P24" s="100">
        <v>95.774000000000001</v>
      </c>
      <c r="Q24" s="100">
        <v>95.052800000000005</v>
      </c>
      <c r="R24" s="100">
        <v>95.052800000000005</v>
      </c>
      <c r="S24" s="100">
        <v>94.222660000000005</v>
      </c>
      <c r="T24" s="100">
        <v>94.222660000000005</v>
      </c>
      <c r="U24" s="100">
        <v>95.052800000000005</v>
      </c>
      <c r="V24" s="100">
        <v>95.052800000000005</v>
      </c>
      <c r="W24" s="100">
        <v>95.052800000000005</v>
      </c>
      <c r="X24" s="100">
        <v>95.052800000000005</v>
      </c>
      <c r="Y24" s="100">
        <v>95.052800000000005</v>
      </c>
    </row>
    <row r="25" spans="1:25" ht="16.05" customHeight="1">
      <c r="A25" s="90" t="s">
        <v>157</v>
      </c>
      <c r="B25" s="96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</row>
    <row r="26" spans="1:25" ht="16.95" customHeight="1">
      <c r="A26" s="93" t="s">
        <v>158</v>
      </c>
      <c r="B26" s="94" t="s">
        <v>159</v>
      </c>
      <c r="C26" s="95">
        <v>164.16601334999999</v>
      </c>
      <c r="D26" s="95">
        <v>164.16601334999999</v>
      </c>
      <c r="E26" s="95">
        <v>164.16601334999999</v>
      </c>
      <c r="F26" s="95">
        <v>164.16601334999999</v>
      </c>
      <c r="G26" s="95">
        <v>164.16601334999999</v>
      </c>
      <c r="H26" s="95">
        <v>164.16601334999999</v>
      </c>
      <c r="I26" s="95">
        <v>164.16601334999999</v>
      </c>
      <c r="J26" s="95">
        <v>171.16627854000001</v>
      </c>
      <c r="K26" s="95">
        <v>171.16627854000001</v>
      </c>
      <c r="L26" s="95">
        <v>170.66486176000001</v>
      </c>
      <c r="M26" s="95">
        <v>167.44986018</v>
      </c>
      <c r="N26" s="95">
        <v>167.44986018</v>
      </c>
      <c r="O26" s="95">
        <v>169.04505266999999</v>
      </c>
      <c r="P26" s="95">
        <v>169.04505266999999</v>
      </c>
      <c r="Q26" s="95">
        <v>123.59427042</v>
      </c>
      <c r="R26" s="95">
        <v>123.59427042</v>
      </c>
      <c r="S26" s="95">
        <v>143.2066734</v>
      </c>
      <c r="T26" s="95">
        <v>143.2066734</v>
      </c>
      <c r="U26" s="95">
        <v>138.91540508</v>
      </c>
      <c r="V26" s="95">
        <v>148.99505345</v>
      </c>
      <c r="W26" s="95">
        <v>146.78541118999999</v>
      </c>
      <c r="X26" s="95">
        <v>146.78541118999999</v>
      </c>
      <c r="Y26" s="95">
        <v>146.78541118999999</v>
      </c>
    </row>
    <row r="27" spans="1:25" ht="16.95" customHeight="1">
      <c r="A27" s="93" t="s">
        <v>158</v>
      </c>
      <c r="B27" s="94" t="s">
        <v>160</v>
      </c>
      <c r="C27" s="95">
        <v>66.546170970000006</v>
      </c>
      <c r="D27" s="95">
        <v>66.546170970000006</v>
      </c>
      <c r="E27" s="95">
        <v>66.546170970000006</v>
      </c>
      <c r="F27" s="95">
        <v>66.546170970000006</v>
      </c>
      <c r="G27" s="95">
        <v>66.546170970000006</v>
      </c>
      <c r="H27" s="95">
        <v>66.546170970000006</v>
      </c>
      <c r="I27" s="95">
        <v>66.546170970000006</v>
      </c>
      <c r="J27" s="95">
        <v>71.46445971</v>
      </c>
      <c r="K27" s="95">
        <v>71.46445971</v>
      </c>
      <c r="L27" s="95">
        <v>69.531082549999994</v>
      </c>
      <c r="M27" s="95">
        <v>59.834538979999998</v>
      </c>
      <c r="N27" s="95">
        <v>59.834538979999998</v>
      </c>
      <c r="O27" s="95">
        <v>64.162397799999994</v>
      </c>
      <c r="P27" s="95">
        <v>64.162397799999994</v>
      </c>
      <c r="Q27" s="95">
        <v>90.809756789999994</v>
      </c>
      <c r="R27" s="95">
        <v>90.809756789999994</v>
      </c>
      <c r="S27" s="95">
        <v>67.112666180000005</v>
      </c>
      <c r="T27" s="95">
        <v>67.112666180000005</v>
      </c>
      <c r="U27" s="95">
        <v>70.051721700000002</v>
      </c>
      <c r="V27" s="95">
        <v>73.283765520000003</v>
      </c>
      <c r="W27" s="95">
        <v>71.26767633</v>
      </c>
      <c r="X27" s="95">
        <v>71.26767633</v>
      </c>
      <c r="Y27" s="95">
        <v>71.26767633</v>
      </c>
    </row>
    <row r="28" spans="1:25" ht="16.95" customHeight="1">
      <c r="A28" s="93" t="s">
        <v>158</v>
      </c>
      <c r="B28" s="94" t="s">
        <v>161</v>
      </c>
      <c r="C28" s="95">
        <v>175.05274549999999</v>
      </c>
      <c r="D28" s="95">
        <v>175.05274549999999</v>
      </c>
      <c r="E28" s="95">
        <v>175.05274549999999</v>
      </c>
      <c r="F28" s="95">
        <v>175.05274549999999</v>
      </c>
      <c r="G28" s="95">
        <v>175.05274549999999</v>
      </c>
      <c r="H28" s="95">
        <v>175.05274549999999</v>
      </c>
      <c r="I28" s="95">
        <v>175.05274549999999</v>
      </c>
      <c r="J28" s="95">
        <v>167.25085677999999</v>
      </c>
      <c r="K28" s="95">
        <v>167.25085677999999</v>
      </c>
      <c r="L28" s="95">
        <v>159.06745688000001</v>
      </c>
      <c r="M28" s="95">
        <v>157.24748640000001</v>
      </c>
      <c r="N28" s="95">
        <v>157.24748640000001</v>
      </c>
      <c r="O28" s="95">
        <v>153.93351820000001</v>
      </c>
      <c r="P28" s="95">
        <v>153.93351820000001</v>
      </c>
      <c r="Q28" s="95">
        <v>116.96560949000001</v>
      </c>
      <c r="R28" s="95">
        <v>116.96560949000001</v>
      </c>
      <c r="S28" s="95">
        <v>139.45498744</v>
      </c>
      <c r="T28" s="95">
        <v>139.45498744</v>
      </c>
      <c r="U28" s="95">
        <v>136.59688921</v>
      </c>
      <c r="V28" s="95">
        <v>127.20305148</v>
      </c>
      <c r="W28" s="95">
        <v>113.01558480999999</v>
      </c>
      <c r="X28" s="95">
        <v>113.01558480999999</v>
      </c>
      <c r="Y28" s="95">
        <v>113.01558480999999</v>
      </c>
    </row>
    <row r="29" spans="1:25" ht="16.95" customHeight="1">
      <c r="A29" s="93" t="s">
        <v>158</v>
      </c>
      <c r="B29" s="94" t="s">
        <v>162</v>
      </c>
      <c r="C29" s="95">
        <v>96.681168040000003</v>
      </c>
      <c r="D29" s="95">
        <v>96.681168040000003</v>
      </c>
      <c r="E29" s="95">
        <v>96.681168040000003</v>
      </c>
      <c r="F29" s="95">
        <v>96.681168040000003</v>
      </c>
      <c r="G29" s="95">
        <v>96.681168040000003</v>
      </c>
      <c r="H29" s="95">
        <v>96.681168040000003</v>
      </c>
      <c r="I29" s="95">
        <v>96.681168040000003</v>
      </c>
      <c r="J29" s="95">
        <v>90.865310249999993</v>
      </c>
      <c r="K29" s="95">
        <v>90.865310249999993</v>
      </c>
      <c r="L29" s="95">
        <v>87.896969189999993</v>
      </c>
      <c r="M29" s="95">
        <v>81.526853149999994</v>
      </c>
      <c r="N29" s="95">
        <v>81.526853149999994</v>
      </c>
      <c r="O29" s="95">
        <v>86.769620549999999</v>
      </c>
      <c r="P29" s="95">
        <v>86.769620549999999</v>
      </c>
      <c r="Q29" s="95">
        <v>75.837841859999997</v>
      </c>
      <c r="R29" s="95">
        <v>75.837841859999997</v>
      </c>
      <c r="S29" s="95">
        <v>70.440688929999993</v>
      </c>
      <c r="T29" s="95">
        <v>70.440688929999993</v>
      </c>
      <c r="U29" s="95">
        <v>66.292724320000005</v>
      </c>
      <c r="V29" s="95">
        <v>60.518701229999998</v>
      </c>
      <c r="W29" s="95">
        <v>68.525630179999993</v>
      </c>
      <c r="X29" s="95">
        <v>68.525630179999993</v>
      </c>
      <c r="Y29" s="95">
        <v>68.525630179999993</v>
      </c>
    </row>
    <row r="30" spans="1:25" ht="16.95" customHeight="1">
      <c r="A30" s="93" t="s">
        <v>158</v>
      </c>
      <c r="B30" s="94" t="s">
        <v>163</v>
      </c>
      <c r="C30" s="95">
        <v>176.71289414</v>
      </c>
      <c r="D30" s="95">
        <v>176.71289414</v>
      </c>
      <c r="E30" s="95">
        <v>176.71289414</v>
      </c>
      <c r="F30" s="95">
        <v>176.71289414</v>
      </c>
      <c r="G30" s="95">
        <v>176.71289414</v>
      </c>
      <c r="H30" s="95">
        <v>176.71289414</v>
      </c>
      <c r="I30" s="95">
        <v>176.71289414</v>
      </c>
      <c r="J30" s="95">
        <v>167.13565548</v>
      </c>
      <c r="K30" s="95">
        <v>167.13565548</v>
      </c>
      <c r="L30" s="95">
        <v>157.67931179999999</v>
      </c>
      <c r="M30" s="95">
        <v>162.56372192000001</v>
      </c>
      <c r="N30" s="95">
        <v>162.56372192000001</v>
      </c>
      <c r="O30" s="95">
        <v>152.50427601000001</v>
      </c>
      <c r="P30" s="95">
        <v>152.50427601000001</v>
      </c>
      <c r="Q30" s="95">
        <v>152.61566569999999</v>
      </c>
      <c r="R30" s="95">
        <v>152.61566569999999</v>
      </c>
      <c r="S30" s="95">
        <v>134.80599157</v>
      </c>
      <c r="T30" s="95">
        <v>134.80599157</v>
      </c>
      <c r="U30" s="95">
        <v>124.43787467</v>
      </c>
      <c r="V30" s="95">
        <v>115.97085837</v>
      </c>
      <c r="W30" s="95">
        <v>109.27759113</v>
      </c>
      <c r="X30" s="95">
        <v>109.27759113</v>
      </c>
      <c r="Y30" s="95">
        <v>109.27759113</v>
      </c>
    </row>
    <row r="31" spans="1:25" ht="16.95" customHeight="1">
      <c r="A31" s="93" t="s">
        <v>158</v>
      </c>
      <c r="B31" s="94" t="s">
        <v>164</v>
      </c>
      <c r="C31" s="95">
        <v>176.10778049999999</v>
      </c>
      <c r="D31" s="95">
        <v>176.10778049999999</v>
      </c>
      <c r="E31" s="95">
        <v>176.10778049999999</v>
      </c>
      <c r="F31" s="95">
        <v>176.10778049999999</v>
      </c>
      <c r="G31" s="95">
        <v>176.10778049999999</v>
      </c>
      <c r="H31" s="95">
        <v>176.10778049999999</v>
      </c>
      <c r="I31" s="95">
        <v>176.10778049999999</v>
      </c>
      <c r="J31" s="95">
        <v>162.93870440000001</v>
      </c>
      <c r="K31" s="95">
        <v>162.93870440000001</v>
      </c>
      <c r="L31" s="95">
        <v>157.07917764000001</v>
      </c>
      <c r="M31" s="95">
        <v>159.76012696000001</v>
      </c>
      <c r="N31" s="95">
        <v>159.76012696000001</v>
      </c>
      <c r="O31" s="95">
        <v>150.19788628000001</v>
      </c>
      <c r="P31" s="95">
        <v>150.19788628000001</v>
      </c>
      <c r="Q31" s="95">
        <v>143.67167932999999</v>
      </c>
      <c r="R31" s="95">
        <v>143.67167932999999</v>
      </c>
      <c r="S31" s="95">
        <v>135.10868411000001</v>
      </c>
      <c r="T31" s="95">
        <v>135.10868411000001</v>
      </c>
      <c r="U31" s="95">
        <v>124.44624957000001</v>
      </c>
      <c r="V31" s="95">
        <v>114.92678844</v>
      </c>
      <c r="W31" s="95">
        <v>111.42927382000001</v>
      </c>
      <c r="X31" s="95">
        <v>111.42927382000001</v>
      </c>
      <c r="Y31" s="95">
        <v>111.42927382000001</v>
      </c>
    </row>
    <row r="32" spans="1:25" ht="16.95" customHeight="1">
      <c r="A32" s="93" t="s">
        <v>158</v>
      </c>
      <c r="B32" s="94" t="s">
        <v>165</v>
      </c>
      <c r="C32" s="95">
        <v>204.28929819000001</v>
      </c>
      <c r="D32" s="95">
        <v>204.28929819000001</v>
      </c>
      <c r="E32" s="95">
        <v>204.28929819000001</v>
      </c>
      <c r="F32" s="95">
        <v>204.28929819000001</v>
      </c>
      <c r="G32" s="95">
        <v>204.28929819000001</v>
      </c>
      <c r="H32" s="95">
        <v>204.28929819000001</v>
      </c>
      <c r="I32" s="95">
        <v>204.28929819000001</v>
      </c>
      <c r="J32" s="95">
        <v>179.9127105</v>
      </c>
      <c r="K32" s="95">
        <v>179.9127105</v>
      </c>
      <c r="L32" s="95">
        <v>180.45395454000001</v>
      </c>
      <c r="M32" s="95">
        <v>177.60369946</v>
      </c>
      <c r="N32" s="95">
        <v>177.60369946</v>
      </c>
      <c r="O32" s="95">
        <v>160.24769008999999</v>
      </c>
      <c r="P32" s="95">
        <v>160.24769008999999</v>
      </c>
      <c r="Q32" s="95">
        <v>125.95931347</v>
      </c>
      <c r="R32" s="95">
        <v>125.95931347</v>
      </c>
      <c r="S32" s="95">
        <v>154.03261774999999</v>
      </c>
      <c r="T32" s="95">
        <v>154.03261774999999</v>
      </c>
      <c r="U32" s="95">
        <v>148.76427863999999</v>
      </c>
      <c r="V32" s="95">
        <v>158.93658257000001</v>
      </c>
      <c r="W32" s="95">
        <v>153.02444020999999</v>
      </c>
      <c r="X32" s="95">
        <v>153.02444020999999</v>
      </c>
      <c r="Y32" s="95">
        <v>153.02444020999999</v>
      </c>
    </row>
    <row r="33" spans="1:25" ht="16.95" customHeight="1">
      <c r="A33" s="93" t="s">
        <v>158</v>
      </c>
      <c r="B33" s="94" t="s">
        <v>166</v>
      </c>
      <c r="C33" s="95">
        <v>242.17403221000001</v>
      </c>
      <c r="D33" s="95">
        <v>242.17403221000001</v>
      </c>
      <c r="E33" s="95">
        <v>242.17403221000001</v>
      </c>
      <c r="F33" s="95">
        <v>242.17403221000001</v>
      </c>
      <c r="G33" s="95">
        <v>242.17403221000001</v>
      </c>
      <c r="H33" s="95">
        <v>242.17403221000001</v>
      </c>
      <c r="I33" s="95">
        <v>242.17403221000001</v>
      </c>
      <c r="J33" s="95">
        <v>216.57051885000001</v>
      </c>
      <c r="K33" s="95">
        <v>216.57051885000001</v>
      </c>
      <c r="L33" s="95">
        <v>213.0012859</v>
      </c>
      <c r="M33" s="95">
        <v>216.80296863999999</v>
      </c>
      <c r="N33" s="95">
        <v>216.80296863999999</v>
      </c>
      <c r="O33" s="95">
        <v>210.69562920000001</v>
      </c>
      <c r="P33" s="95">
        <v>210.69562920000001</v>
      </c>
      <c r="Q33" s="95">
        <v>198.12150808000001</v>
      </c>
      <c r="R33" s="95">
        <v>198.12150808000001</v>
      </c>
      <c r="S33" s="95">
        <v>222.69556958000001</v>
      </c>
      <c r="T33" s="95">
        <v>222.69556958000001</v>
      </c>
      <c r="U33" s="95">
        <v>223.67556493000001</v>
      </c>
      <c r="V33" s="95">
        <v>226.99627627000001</v>
      </c>
      <c r="W33" s="95">
        <v>221.40065168000001</v>
      </c>
      <c r="X33" s="95">
        <v>221.40065168000001</v>
      </c>
      <c r="Y33" s="95">
        <v>221.40065168000001</v>
      </c>
    </row>
    <row r="34" spans="1:25" ht="16.95" customHeight="1">
      <c r="A34" s="93" t="s">
        <v>158</v>
      </c>
      <c r="B34" s="94" t="s">
        <v>167</v>
      </c>
      <c r="C34" s="95">
        <v>245.19256297000001</v>
      </c>
      <c r="D34" s="95">
        <v>245.19256297000001</v>
      </c>
      <c r="E34" s="95">
        <v>245.19256297000001</v>
      </c>
      <c r="F34" s="95">
        <v>245.19256297000001</v>
      </c>
      <c r="G34" s="95">
        <v>245.19256297000001</v>
      </c>
      <c r="H34" s="95">
        <v>245.19256297000001</v>
      </c>
      <c r="I34" s="95">
        <v>245.19256297000001</v>
      </c>
      <c r="J34" s="95">
        <v>226.24577955999999</v>
      </c>
      <c r="K34" s="95">
        <v>226.24577955999999</v>
      </c>
      <c r="L34" s="95">
        <v>212.76722759</v>
      </c>
      <c r="M34" s="95">
        <v>215.33373334000001</v>
      </c>
      <c r="N34" s="95">
        <v>215.33373334000001</v>
      </c>
      <c r="O34" s="95">
        <v>203.52353565000001</v>
      </c>
      <c r="P34" s="95">
        <v>203.52353565000001</v>
      </c>
      <c r="Q34" s="95">
        <v>222.86931536</v>
      </c>
      <c r="R34" s="95">
        <v>222.86931536</v>
      </c>
      <c r="S34" s="95">
        <v>223.23648127999999</v>
      </c>
      <c r="T34" s="95">
        <v>223.23648127999999</v>
      </c>
      <c r="U34" s="95">
        <v>224.61341995999999</v>
      </c>
      <c r="V34" s="95">
        <v>201.07704752000001</v>
      </c>
      <c r="W34" s="95">
        <v>204.16512295000001</v>
      </c>
      <c r="X34" s="95">
        <v>204.16512295000001</v>
      </c>
      <c r="Y34" s="95">
        <v>204.16512295000001</v>
      </c>
    </row>
    <row r="35" spans="1:25" ht="16.95" customHeight="1">
      <c r="A35" s="93" t="s">
        <v>158</v>
      </c>
      <c r="B35" s="94" t="s">
        <v>168</v>
      </c>
      <c r="C35" s="95">
        <v>243.49601505999999</v>
      </c>
      <c r="D35" s="95">
        <v>243.49601505999999</v>
      </c>
      <c r="E35" s="95">
        <v>243.49601505999999</v>
      </c>
      <c r="F35" s="95">
        <v>243.49601505999999</v>
      </c>
      <c r="G35" s="95">
        <v>243.49601505999999</v>
      </c>
      <c r="H35" s="95">
        <v>243.49601505999999</v>
      </c>
      <c r="I35" s="95">
        <v>243.49601505999999</v>
      </c>
      <c r="J35" s="95">
        <v>230.28679811000001</v>
      </c>
      <c r="K35" s="95">
        <v>230.28679811000001</v>
      </c>
      <c r="L35" s="95">
        <v>217.72366177999999</v>
      </c>
      <c r="M35" s="95">
        <v>205.39886425</v>
      </c>
      <c r="N35" s="95">
        <v>205.39886425</v>
      </c>
      <c r="O35" s="95">
        <v>190.52834034</v>
      </c>
      <c r="P35" s="95">
        <v>190.52834034</v>
      </c>
      <c r="Q35" s="95">
        <v>182.86591028000001</v>
      </c>
      <c r="R35" s="95">
        <v>182.86591028000001</v>
      </c>
      <c r="S35" s="95">
        <v>165.82632745000001</v>
      </c>
      <c r="T35" s="95">
        <v>165.82632745000001</v>
      </c>
      <c r="U35" s="95">
        <v>166.06228672</v>
      </c>
      <c r="V35" s="95">
        <v>147.08544502999999</v>
      </c>
      <c r="W35" s="95">
        <v>131.15799475</v>
      </c>
      <c r="X35" s="95">
        <v>131.15799475</v>
      </c>
      <c r="Y35" s="95">
        <v>131.15799475</v>
      </c>
    </row>
    <row r="36" spans="1:25" ht="16.95" customHeight="1">
      <c r="A36" s="93" t="s">
        <v>158</v>
      </c>
      <c r="B36" s="94" t="s">
        <v>169</v>
      </c>
      <c r="C36" s="95">
        <v>124.28234129000001</v>
      </c>
      <c r="D36" s="95">
        <v>124.28234129000001</v>
      </c>
      <c r="E36" s="95">
        <v>124.28234129000001</v>
      </c>
      <c r="F36" s="95">
        <v>124.28234129000001</v>
      </c>
      <c r="G36" s="95">
        <v>124.28234129000001</v>
      </c>
      <c r="H36" s="95">
        <v>124.28234129000001</v>
      </c>
      <c r="I36" s="95">
        <v>124.28234129000001</v>
      </c>
      <c r="J36" s="95">
        <v>110.90500555</v>
      </c>
      <c r="K36" s="95">
        <v>110.90500555</v>
      </c>
      <c r="L36" s="95">
        <v>97.613107350000007</v>
      </c>
      <c r="M36" s="95">
        <v>96.723760229999996</v>
      </c>
      <c r="N36" s="95">
        <v>96.723760229999996</v>
      </c>
      <c r="O36" s="95">
        <v>85.443738609999997</v>
      </c>
      <c r="P36" s="95">
        <v>85.443738609999997</v>
      </c>
      <c r="Q36" s="95">
        <v>76.671475999999998</v>
      </c>
      <c r="R36" s="95">
        <v>76.671475999999998</v>
      </c>
      <c r="S36" s="95">
        <v>74.937607389999997</v>
      </c>
      <c r="T36" s="95">
        <v>74.937607389999997</v>
      </c>
      <c r="U36" s="95">
        <v>70.131615510000003</v>
      </c>
      <c r="V36" s="95">
        <v>65.647059990000002</v>
      </c>
      <c r="W36" s="95">
        <v>70.851457460000006</v>
      </c>
      <c r="X36" s="95">
        <v>70.851457460000006</v>
      </c>
      <c r="Y36" s="95">
        <v>70.851457460000006</v>
      </c>
    </row>
    <row r="37" spans="1:25" ht="16.95" customHeight="1">
      <c r="A37" s="93" t="s">
        <v>158</v>
      </c>
      <c r="B37" s="94" t="s">
        <v>170</v>
      </c>
      <c r="C37" s="95">
        <v>120.59295993000001</v>
      </c>
      <c r="D37" s="95">
        <v>120.59295993000001</v>
      </c>
      <c r="E37" s="95">
        <v>120.59295993000001</v>
      </c>
      <c r="F37" s="95">
        <v>120.59295993000001</v>
      </c>
      <c r="G37" s="95">
        <v>120.59295993000001</v>
      </c>
      <c r="H37" s="95">
        <v>120.59295993000001</v>
      </c>
      <c r="I37" s="95">
        <v>120.59295993000001</v>
      </c>
      <c r="J37" s="95">
        <v>114.77092239</v>
      </c>
      <c r="K37" s="95">
        <v>114.77092239</v>
      </c>
      <c r="L37" s="95">
        <v>109.45907372000001</v>
      </c>
      <c r="M37" s="95">
        <v>112.59162913999999</v>
      </c>
      <c r="N37" s="95">
        <v>112.59162913999999</v>
      </c>
      <c r="O37" s="95">
        <v>88.964509120000002</v>
      </c>
      <c r="P37" s="95">
        <v>88.964509120000002</v>
      </c>
      <c r="Q37" s="95">
        <v>121.42570501</v>
      </c>
      <c r="R37" s="95">
        <v>121.42570501</v>
      </c>
      <c r="S37" s="95">
        <v>87.126399320000004</v>
      </c>
      <c r="T37" s="95">
        <v>87.126399320000004</v>
      </c>
      <c r="U37" s="95">
        <v>85.525332570000003</v>
      </c>
      <c r="V37" s="95">
        <v>95.696174220000003</v>
      </c>
      <c r="W37" s="95">
        <v>80.264171939999997</v>
      </c>
      <c r="X37" s="95">
        <v>80.264171939999997</v>
      </c>
      <c r="Y37" s="95">
        <v>80.264171939999997</v>
      </c>
    </row>
    <row r="38" spans="1:25" ht="16.95" customHeight="1">
      <c r="A38" s="93" t="s">
        <v>158</v>
      </c>
      <c r="B38" s="94" t="s">
        <v>171</v>
      </c>
      <c r="C38" s="95">
        <v>108.73780198999999</v>
      </c>
      <c r="D38" s="95">
        <v>108.73780198999999</v>
      </c>
      <c r="E38" s="95">
        <v>108.73780198999999</v>
      </c>
      <c r="F38" s="95">
        <v>108.73780198999999</v>
      </c>
      <c r="G38" s="95">
        <v>108.73780198999999</v>
      </c>
      <c r="H38" s="95">
        <v>108.73780198999999</v>
      </c>
      <c r="I38" s="95">
        <v>108.73780198999999</v>
      </c>
      <c r="J38" s="95">
        <v>93.904093459999999</v>
      </c>
      <c r="K38" s="95">
        <v>93.904093459999999</v>
      </c>
      <c r="L38" s="95">
        <v>81.361070159999997</v>
      </c>
      <c r="M38" s="95">
        <v>82.922628680000003</v>
      </c>
      <c r="N38" s="95">
        <v>82.922628680000003</v>
      </c>
      <c r="O38" s="95">
        <v>92.799723240000006</v>
      </c>
      <c r="P38" s="95">
        <v>92.799723240000006</v>
      </c>
      <c r="Q38" s="95">
        <v>88.659403449999999</v>
      </c>
      <c r="R38" s="95">
        <v>88.659403449999999</v>
      </c>
      <c r="S38" s="95">
        <v>84.689837339999997</v>
      </c>
      <c r="T38" s="95">
        <v>84.689837339999997</v>
      </c>
      <c r="U38" s="95">
        <v>79.463372699999994</v>
      </c>
      <c r="V38" s="95">
        <v>73.78625907</v>
      </c>
      <c r="W38" s="95">
        <v>84.540817430000004</v>
      </c>
      <c r="X38" s="95">
        <v>84.540817430000004</v>
      </c>
      <c r="Y38" s="95">
        <v>84.540817430000004</v>
      </c>
    </row>
    <row r="39" spans="1:25" ht="16.95" customHeight="1">
      <c r="A39" s="93" t="s">
        <v>158</v>
      </c>
      <c r="B39" s="94" t="s">
        <v>172</v>
      </c>
      <c r="C39" s="95">
        <v>205.39498828999999</v>
      </c>
      <c r="D39" s="95">
        <v>205.39498828999999</v>
      </c>
      <c r="E39" s="95">
        <v>205.39498828999999</v>
      </c>
      <c r="F39" s="95">
        <v>205.39498828999999</v>
      </c>
      <c r="G39" s="95">
        <v>205.39498828999999</v>
      </c>
      <c r="H39" s="95">
        <v>205.39498828999999</v>
      </c>
      <c r="I39" s="95">
        <v>205.39498828999999</v>
      </c>
      <c r="J39" s="95">
        <v>189.39238423</v>
      </c>
      <c r="K39" s="95">
        <v>189.39238423</v>
      </c>
      <c r="L39" s="95">
        <v>179.97485752</v>
      </c>
      <c r="M39" s="95">
        <v>178.26684471999999</v>
      </c>
      <c r="N39" s="95">
        <v>178.26684471999999</v>
      </c>
      <c r="O39" s="95">
        <v>160.30578295999999</v>
      </c>
      <c r="P39" s="95">
        <v>160.30578295999999</v>
      </c>
      <c r="Q39" s="95">
        <v>160.09643871</v>
      </c>
      <c r="R39" s="95">
        <v>160.09643871</v>
      </c>
      <c r="S39" s="95">
        <v>157.65961086999999</v>
      </c>
      <c r="T39" s="95">
        <v>157.65961086999999</v>
      </c>
      <c r="U39" s="95">
        <v>158.60331502</v>
      </c>
      <c r="V39" s="95">
        <v>162.03821735</v>
      </c>
      <c r="W39" s="95">
        <v>161.20577962999999</v>
      </c>
      <c r="X39" s="95">
        <v>161.20577962999999</v>
      </c>
      <c r="Y39" s="95">
        <v>161.20577962999999</v>
      </c>
    </row>
    <row r="40" spans="1:25" ht="16.95" customHeight="1">
      <c r="A40" s="93" t="s">
        <v>158</v>
      </c>
      <c r="B40" s="94" t="s">
        <v>173</v>
      </c>
      <c r="C40" s="95">
        <v>96.345087980000002</v>
      </c>
      <c r="D40" s="95">
        <v>96.345087980000002</v>
      </c>
      <c r="E40" s="95">
        <v>96.345087980000002</v>
      </c>
      <c r="F40" s="95">
        <v>96.345087980000002</v>
      </c>
      <c r="G40" s="95">
        <v>96.345087980000002</v>
      </c>
      <c r="H40" s="95">
        <v>96.345087980000002</v>
      </c>
      <c r="I40" s="95">
        <v>96.345087980000002</v>
      </c>
      <c r="J40" s="95">
        <v>91.287218719999998</v>
      </c>
      <c r="K40" s="95">
        <v>91.287218719999998</v>
      </c>
      <c r="L40" s="95">
        <v>66.513994299999993</v>
      </c>
      <c r="M40" s="95">
        <v>72.898002020000007</v>
      </c>
      <c r="N40" s="95">
        <v>72.898002020000007</v>
      </c>
      <c r="O40" s="95">
        <v>54.544826069999999</v>
      </c>
      <c r="P40" s="95">
        <v>54.544826069999999</v>
      </c>
      <c r="Q40" s="95">
        <v>48.872150349999998</v>
      </c>
      <c r="R40" s="95">
        <v>48.872150349999998</v>
      </c>
      <c r="S40" s="95">
        <v>39.34099097</v>
      </c>
      <c r="T40" s="95">
        <v>39.34099097</v>
      </c>
      <c r="U40" s="95">
        <v>33.750683770000002</v>
      </c>
      <c r="V40" s="95">
        <v>30.979657830000001</v>
      </c>
      <c r="W40" s="95">
        <v>31.173077970000001</v>
      </c>
      <c r="X40" s="95">
        <v>31.173077970000001</v>
      </c>
      <c r="Y40" s="95">
        <v>31.173077970000001</v>
      </c>
    </row>
    <row r="41" spans="1:25" ht="16.95" customHeight="1">
      <c r="A41" s="93" t="s">
        <v>158</v>
      </c>
      <c r="B41" s="94" t="s">
        <v>174</v>
      </c>
      <c r="C41" s="95">
        <v>205.16359624</v>
      </c>
      <c r="D41" s="95">
        <v>205.16359624</v>
      </c>
      <c r="E41" s="95">
        <v>205.16359624</v>
      </c>
      <c r="F41" s="95">
        <v>205.16359624</v>
      </c>
      <c r="G41" s="95">
        <v>205.16359624</v>
      </c>
      <c r="H41" s="95">
        <v>205.16359624</v>
      </c>
      <c r="I41" s="95">
        <v>205.16359624</v>
      </c>
      <c r="J41" s="95">
        <v>205.16359624</v>
      </c>
      <c r="K41" s="95">
        <v>205.16359624</v>
      </c>
      <c r="L41" s="95">
        <v>205.16359624</v>
      </c>
      <c r="M41" s="95">
        <v>205.16359624</v>
      </c>
      <c r="N41" s="95">
        <v>205.16359624</v>
      </c>
      <c r="O41" s="95">
        <v>205.16359624</v>
      </c>
      <c r="P41" s="95">
        <v>205.16359624</v>
      </c>
      <c r="Q41" s="95">
        <v>205.16359624</v>
      </c>
      <c r="R41" s="95">
        <v>205.16359624</v>
      </c>
      <c r="S41" s="95">
        <v>205.16359624</v>
      </c>
      <c r="T41" s="95">
        <v>205.16359624</v>
      </c>
      <c r="U41" s="95">
        <v>205.16359624</v>
      </c>
      <c r="V41" s="95">
        <v>205.16359624</v>
      </c>
      <c r="W41" s="95">
        <v>213.82509615999999</v>
      </c>
      <c r="X41" s="95">
        <v>213.82509615999999</v>
      </c>
      <c r="Y41" s="95">
        <v>213.82509615999999</v>
      </c>
    </row>
    <row r="42" spans="1:25" ht="16.95" customHeight="1">
      <c r="A42" s="93" t="s">
        <v>158</v>
      </c>
      <c r="B42" s="94" t="s">
        <v>175</v>
      </c>
      <c r="C42" s="95">
        <v>152.26463186000001</v>
      </c>
      <c r="D42" s="95">
        <v>152.26463186000001</v>
      </c>
      <c r="E42" s="95">
        <v>152.26463186000001</v>
      </c>
      <c r="F42" s="95">
        <v>152.26463186000001</v>
      </c>
      <c r="G42" s="95">
        <v>152.26463186000001</v>
      </c>
      <c r="H42" s="95">
        <v>152.26463186000001</v>
      </c>
      <c r="I42" s="95">
        <v>152.26463186000001</v>
      </c>
      <c r="J42" s="95">
        <v>141.59873392</v>
      </c>
      <c r="K42" s="95">
        <v>141.59873392</v>
      </c>
      <c r="L42" s="95">
        <v>126.63710815</v>
      </c>
      <c r="M42" s="95">
        <v>133.87025020999999</v>
      </c>
      <c r="N42" s="95">
        <v>133.87025020999999</v>
      </c>
      <c r="O42" s="95">
        <v>114.67956457</v>
      </c>
      <c r="P42" s="95">
        <v>114.67956457</v>
      </c>
      <c r="Q42" s="95">
        <v>110.93090125000001</v>
      </c>
      <c r="R42" s="95">
        <v>110.93090125000001</v>
      </c>
      <c r="S42" s="95">
        <v>101.31134023</v>
      </c>
      <c r="T42" s="95">
        <v>101.31134023</v>
      </c>
      <c r="U42" s="95">
        <v>95.710265309999997</v>
      </c>
      <c r="V42" s="95">
        <v>92.852964689999993</v>
      </c>
      <c r="W42" s="95">
        <v>87.122012470000001</v>
      </c>
      <c r="X42" s="95">
        <v>87.122012470000001</v>
      </c>
      <c r="Y42" s="95">
        <v>87.122012470000001</v>
      </c>
    </row>
    <row r="43" spans="1:25" ht="16.95" customHeight="1">
      <c r="A43" s="93" t="s">
        <v>158</v>
      </c>
      <c r="B43" s="94" t="s">
        <v>176</v>
      </c>
      <c r="C43" s="95">
        <v>209.00347575000001</v>
      </c>
      <c r="D43" s="95">
        <v>209.00347575000001</v>
      </c>
      <c r="E43" s="95">
        <v>209.00347575000001</v>
      </c>
      <c r="F43" s="95">
        <v>209.00347575000001</v>
      </c>
      <c r="G43" s="95">
        <v>209.00347575000001</v>
      </c>
      <c r="H43" s="95">
        <v>209.00347575000001</v>
      </c>
      <c r="I43" s="95">
        <v>209.00347575000001</v>
      </c>
      <c r="J43" s="95">
        <v>220.72667224</v>
      </c>
      <c r="K43" s="95">
        <v>220.72667224</v>
      </c>
      <c r="L43" s="95">
        <v>221.83651829999999</v>
      </c>
      <c r="M43" s="95">
        <v>217.79270811999999</v>
      </c>
      <c r="N43" s="95">
        <v>217.79270811999999</v>
      </c>
      <c r="O43" s="95">
        <v>209.68373922999999</v>
      </c>
      <c r="P43" s="95">
        <v>209.68373922999999</v>
      </c>
      <c r="Q43" s="95">
        <v>205.06761732000001</v>
      </c>
      <c r="R43" s="95">
        <v>205.06761732000001</v>
      </c>
      <c r="S43" s="95">
        <v>170.00978565</v>
      </c>
      <c r="T43" s="95">
        <v>170.00978565</v>
      </c>
      <c r="U43" s="95">
        <v>175.63146545999999</v>
      </c>
      <c r="V43" s="95">
        <v>159.12255836</v>
      </c>
      <c r="W43" s="95">
        <v>154.17897895999999</v>
      </c>
      <c r="X43" s="95">
        <v>154.17897895999999</v>
      </c>
      <c r="Y43" s="95">
        <v>154.17897895999999</v>
      </c>
    </row>
    <row r="44" spans="1:25" ht="16.95" customHeight="1">
      <c r="A44" s="93" t="s">
        <v>158</v>
      </c>
      <c r="B44" s="94" t="s">
        <v>177</v>
      </c>
      <c r="C44" s="95">
        <v>205.50949159000001</v>
      </c>
      <c r="D44" s="95">
        <v>205.50949159000001</v>
      </c>
      <c r="E44" s="95">
        <v>205.50949159000001</v>
      </c>
      <c r="F44" s="95">
        <v>205.50949159000001</v>
      </c>
      <c r="G44" s="95">
        <v>205.50949159000001</v>
      </c>
      <c r="H44" s="95">
        <v>205.50949159000001</v>
      </c>
      <c r="I44" s="95">
        <v>205.50949159000001</v>
      </c>
      <c r="J44" s="95">
        <v>207.37022089000001</v>
      </c>
      <c r="K44" s="95">
        <v>207.37022089000001</v>
      </c>
      <c r="L44" s="95">
        <v>203.22605822</v>
      </c>
      <c r="M44" s="95">
        <v>200.93420907000001</v>
      </c>
      <c r="N44" s="95">
        <v>200.93420907000001</v>
      </c>
      <c r="O44" s="95">
        <v>184.32110370000001</v>
      </c>
      <c r="P44" s="95">
        <v>184.32110370000001</v>
      </c>
      <c r="Q44" s="95">
        <v>184.89476121999999</v>
      </c>
      <c r="R44" s="95">
        <v>184.89476121999999</v>
      </c>
      <c r="S44" s="95">
        <v>166.36418166000001</v>
      </c>
      <c r="T44" s="95">
        <v>166.36418166000001</v>
      </c>
      <c r="U44" s="95">
        <v>156.06931184000001</v>
      </c>
      <c r="V44" s="95">
        <v>142.82647987000001</v>
      </c>
      <c r="W44" s="95">
        <v>131.71419395999999</v>
      </c>
      <c r="X44" s="95">
        <v>131.71419395999999</v>
      </c>
      <c r="Y44" s="95">
        <v>131.71419395999999</v>
      </c>
    </row>
    <row r="45" spans="1:25" ht="16.95" customHeight="1">
      <c r="A45" s="93" t="s">
        <v>158</v>
      </c>
      <c r="B45" s="94" t="s">
        <v>178</v>
      </c>
      <c r="C45" s="95">
        <v>251.54197128999999</v>
      </c>
      <c r="D45" s="95">
        <v>251.54197128999999</v>
      </c>
      <c r="E45" s="95">
        <v>251.54197128999999</v>
      </c>
      <c r="F45" s="95">
        <v>251.54197128999999</v>
      </c>
      <c r="G45" s="95">
        <v>251.54197128999999</v>
      </c>
      <c r="H45" s="95">
        <v>251.54197128999999</v>
      </c>
      <c r="I45" s="95">
        <v>251.54197128999999</v>
      </c>
      <c r="J45" s="95">
        <v>254.63868568000001</v>
      </c>
      <c r="K45" s="95">
        <v>254.63868568000001</v>
      </c>
      <c r="L45" s="95">
        <v>243.72383453</v>
      </c>
      <c r="M45" s="95">
        <v>253.40957051000001</v>
      </c>
      <c r="N45" s="95">
        <v>253.40957051000001</v>
      </c>
      <c r="O45" s="95">
        <v>243.51328841</v>
      </c>
      <c r="P45" s="95">
        <v>243.51328841</v>
      </c>
      <c r="Q45" s="95">
        <v>232.55880010000001</v>
      </c>
      <c r="R45" s="95">
        <v>232.55880010000001</v>
      </c>
      <c r="S45" s="95">
        <v>183.02131105999999</v>
      </c>
      <c r="T45" s="95">
        <v>183.02131105999999</v>
      </c>
      <c r="U45" s="95">
        <v>170.41497092</v>
      </c>
      <c r="V45" s="95">
        <v>166.24201457000001</v>
      </c>
      <c r="W45" s="95">
        <v>153.08997707</v>
      </c>
      <c r="X45" s="95">
        <v>153.08997707</v>
      </c>
      <c r="Y45" s="95">
        <v>153.08997707</v>
      </c>
    </row>
    <row r="46" spans="1:25" ht="16.95" customHeight="1">
      <c r="A46" s="93" t="s">
        <v>158</v>
      </c>
      <c r="B46" s="94" t="s">
        <v>179</v>
      </c>
      <c r="C46" s="95">
        <v>262.02782471</v>
      </c>
      <c r="D46" s="95">
        <v>262.02782471</v>
      </c>
      <c r="E46" s="95">
        <v>262.02782471</v>
      </c>
      <c r="F46" s="95">
        <v>262.02782471</v>
      </c>
      <c r="G46" s="95">
        <v>262.02782471</v>
      </c>
      <c r="H46" s="95">
        <v>262.02782471</v>
      </c>
      <c r="I46" s="95">
        <v>262.02782471</v>
      </c>
      <c r="J46" s="95">
        <v>240.37317299</v>
      </c>
      <c r="K46" s="95">
        <v>240.37317299</v>
      </c>
      <c r="L46" s="95">
        <v>242.6265641</v>
      </c>
      <c r="M46" s="95">
        <v>240.44695179999999</v>
      </c>
      <c r="N46" s="95">
        <v>240.44695179999999</v>
      </c>
      <c r="O46" s="95">
        <v>230.04177215999999</v>
      </c>
      <c r="P46" s="95">
        <v>230.04177215999999</v>
      </c>
      <c r="Q46" s="95">
        <v>210.89561194000001</v>
      </c>
      <c r="R46" s="95">
        <v>210.89561194000001</v>
      </c>
      <c r="S46" s="95">
        <v>189.05588637</v>
      </c>
      <c r="T46" s="95">
        <v>189.05588637</v>
      </c>
      <c r="U46" s="95">
        <v>155.74721081999999</v>
      </c>
      <c r="V46" s="95">
        <v>143.25014307999999</v>
      </c>
      <c r="W46" s="95">
        <v>127.7276122</v>
      </c>
      <c r="X46" s="95">
        <v>127.7276122</v>
      </c>
      <c r="Y46" s="95">
        <v>127.7276122</v>
      </c>
    </row>
    <row r="47" spans="1:25" ht="16.95" customHeight="1">
      <c r="A47" s="93" t="s">
        <v>158</v>
      </c>
      <c r="B47" s="94" t="s">
        <v>180</v>
      </c>
      <c r="C47" s="95">
        <v>221.40251040999999</v>
      </c>
      <c r="D47" s="95">
        <v>221.40251040999999</v>
      </c>
      <c r="E47" s="95">
        <v>221.40251040999999</v>
      </c>
      <c r="F47" s="95">
        <v>221.40251040999999</v>
      </c>
      <c r="G47" s="95">
        <v>221.40251040999999</v>
      </c>
      <c r="H47" s="95">
        <v>221.40251040999999</v>
      </c>
      <c r="I47" s="95">
        <v>221.40251040999999</v>
      </c>
      <c r="J47" s="95">
        <v>216.88175910000001</v>
      </c>
      <c r="K47" s="95">
        <v>216.88175910000001</v>
      </c>
      <c r="L47" s="95">
        <v>213.52773429999999</v>
      </c>
      <c r="M47" s="95">
        <v>211.04118883999999</v>
      </c>
      <c r="N47" s="95">
        <v>211.04118883999999</v>
      </c>
      <c r="O47" s="95">
        <v>205.42648985</v>
      </c>
      <c r="P47" s="95">
        <v>205.42648985</v>
      </c>
      <c r="Q47" s="95">
        <v>197.38172591</v>
      </c>
      <c r="R47" s="95">
        <v>197.38172591</v>
      </c>
      <c r="S47" s="95">
        <v>166.81403302000001</v>
      </c>
      <c r="T47" s="95">
        <v>166.81403302000001</v>
      </c>
      <c r="U47" s="95">
        <v>155.89995289999999</v>
      </c>
      <c r="V47" s="95">
        <v>133.82838903999999</v>
      </c>
      <c r="W47" s="95">
        <v>124.39919064999999</v>
      </c>
      <c r="X47" s="95">
        <v>124.39919064999999</v>
      </c>
      <c r="Y47" s="95">
        <v>124.39919064999999</v>
      </c>
    </row>
    <row r="48" spans="1:25" ht="16.95" customHeight="1">
      <c r="A48" s="93" t="s">
        <v>158</v>
      </c>
      <c r="B48" s="94" t="s">
        <v>181</v>
      </c>
      <c r="C48" s="95">
        <v>136.10312223</v>
      </c>
      <c r="D48" s="95">
        <v>136.10312223</v>
      </c>
      <c r="E48" s="95">
        <v>136.10312223</v>
      </c>
      <c r="F48" s="95">
        <v>136.10312223</v>
      </c>
      <c r="G48" s="95">
        <v>136.10312223</v>
      </c>
      <c r="H48" s="95">
        <v>136.10312223</v>
      </c>
      <c r="I48" s="95">
        <v>136.10312223</v>
      </c>
      <c r="J48" s="95">
        <v>133.99951601000001</v>
      </c>
      <c r="K48" s="95">
        <v>133.99951601000001</v>
      </c>
      <c r="L48" s="95">
        <v>133.74877437999999</v>
      </c>
      <c r="M48" s="95">
        <v>137.39932354999999</v>
      </c>
      <c r="N48" s="95">
        <v>137.39932354999999</v>
      </c>
      <c r="O48" s="95">
        <v>140.46508575999999</v>
      </c>
      <c r="P48" s="95">
        <v>140.46508575999999</v>
      </c>
      <c r="Q48" s="95">
        <v>136.53946137</v>
      </c>
      <c r="R48" s="95">
        <v>136.53946137</v>
      </c>
      <c r="S48" s="95">
        <v>111.95144172000001</v>
      </c>
      <c r="T48" s="95">
        <v>111.95144172000001</v>
      </c>
      <c r="U48" s="95">
        <v>114.10711246</v>
      </c>
      <c r="V48" s="95">
        <v>107.6234834</v>
      </c>
      <c r="W48" s="95">
        <v>98.69518334</v>
      </c>
      <c r="X48" s="95">
        <v>98.69518334</v>
      </c>
      <c r="Y48" s="95">
        <v>98.69518334</v>
      </c>
    </row>
    <row r="49" spans="1:25" ht="16.95" customHeight="1">
      <c r="A49" s="93" t="s">
        <v>158</v>
      </c>
      <c r="B49" s="94" t="s">
        <v>182</v>
      </c>
      <c r="C49" s="95">
        <v>244.61712678000001</v>
      </c>
      <c r="D49" s="95">
        <v>244.61712678000001</v>
      </c>
      <c r="E49" s="95">
        <v>244.61712678000001</v>
      </c>
      <c r="F49" s="95">
        <v>244.61712678000001</v>
      </c>
      <c r="G49" s="95">
        <v>244.61712678000001</v>
      </c>
      <c r="H49" s="95">
        <v>244.61712678000001</v>
      </c>
      <c r="I49" s="95">
        <v>244.61712678000001</v>
      </c>
      <c r="J49" s="95">
        <v>237.80424783000001</v>
      </c>
      <c r="K49" s="95">
        <v>237.80424783000001</v>
      </c>
      <c r="L49" s="95">
        <v>233.85205630999999</v>
      </c>
      <c r="M49" s="95">
        <v>241.99783565999999</v>
      </c>
      <c r="N49" s="95">
        <v>241.99783565999999</v>
      </c>
      <c r="O49" s="95">
        <v>228.60571901</v>
      </c>
      <c r="P49" s="95">
        <v>228.60571901</v>
      </c>
      <c r="Q49" s="95">
        <v>237.39576578</v>
      </c>
      <c r="R49" s="95">
        <v>237.39576578</v>
      </c>
      <c r="S49" s="95">
        <v>215.68192945999999</v>
      </c>
      <c r="T49" s="95">
        <v>215.68192945999999</v>
      </c>
      <c r="U49" s="95">
        <v>222.902682</v>
      </c>
      <c r="V49" s="95">
        <v>212.15609972999999</v>
      </c>
      <c r="W49" s="95">
        <v>198.25231592</v>
      </c>
      <c r="X49" s="95">
        <v>198.25231592</v>
      </c>
      <c r="Y49" s="95">
        <v>198.25231592</v>
      </c>
    </row>
    <row r="50" spans="1:25" ht="16.95" customHeight="1">
      <c r="A50" s="93" t="s">
        <v>158</v>
      </c>
      <c r="B50" s="94" t="s">
        <v>183</v>
      </c>
      <c r="C50" s="95">
        <v>199.10796632</v>
      </c>
      <c r="D50" s="95">
        <v>199.10796632</v>
      </c>
      <c r="E50" s="95">
        <v>199.10796632</v>
      </c>
      <c r="F50" s="95">
        <v>199.10796632</v>
      </c>
      <c r="G50" s="95">
        <v>199.10796632</v>
      </c>
      <c r="H50" s="95">
        <v>199.10796632</v>
      </c>
      <c r="I50" s="95">
        <v>199.10796632</v>
      </c>
      <c r="J50" s="95">
        <v>199.87890615000001</v>
      </c>
      <c r="K50" s="95">
        <v>199.87890615000001</v>
      </c>
      <c r="L50" s="95">
        <v>177.14789261999999</v>
      </c>
      <c r="M50" s="95">
        <v>180.93080497</v>
      </c>
      <c r="N50" s="95">
        <v>180.93080497</v>
      </c>
      <c r="O50" s="95">
        <v>153.44991895999999</v>
      </c>
      <c r="P50" s="95">
        <v>153.44991895999999</v>
      </c>
      <c r="Q50" s="95">
        <v>152.97246271</v>
      </c>
      <c r="R50" s="95">
        <v>152.97246271</v>
      </c>
      <c r="S50" s="95">
        <v>145.57942667</v>
      </c>
      <c r="T50" s="95">
        <v>145.57942667</v>
      </c>
      <c r="U50" s="95">
        <v>137.38426204000001</v>
      </c>
      <c r="V50" s="95">
        <v>129.47597071000001</v>
      </c>
      <c r="W50" s="95">
        <v>114.87999539</v>
      </c>
      <c r="X50" s="95">
        <v>114.87999539</v>
      </c>
      <c r="Y50" s="95">
        <v>114.87999539</v>
      </c>
    </row>
    <row r="51" spans="1:25" ht="16.95" customHeight="1">
      <c r="A51" s="93" t="s">
        <v>158</v>
      </c>
      <c r="B51" s="94" t="s">
        <v>184</v>
      </c>
      <c r="C51" s="95">
        <v>201.87277961999999</v>
      </c>
      <c r="D51" s="95">
        <v>201.87277961999999</v>
      </c>
      <c r="E51" s="95">
        <v>201.87277961999999</v>
      </c>
      <c r="F51" s="95">
        <v>201.87277961999999</v>
      </c>
      <c r="G51" s="95">
        <v>201.87277961999999</v>
      </c>
      <c r="H51" s="95">
        <v>201.87277961999999</v>
      </c>
      <c r="I51" s="95">
        <v>201.87277961999999</v>
      </c>
      <c r="J51" s="95">
        <v>205.93796804999999</v>
      </c>
      <c r="K51" s="95">
        <v>205.93796804999999</v>
      </c>
      <c r="L51" s="95">
        <v>181.44540886999999</v>
      </c>
      <c r="M51" s="95">
        <v>185.64606884</v>
      </c>
      <c r="N51" s="95">
        <v>185.64606884</v>
      </c>
      <c r="O51" s="95">
        <v>178.65888477999999</v>
      </c>
      <c r="P51" s="95">
        <v>178.65888477999999</v>
      </c>
      <c r="Q51" s="95">
        <v>178.85274156</v>
      </c>
      <c r="R51" s="95">
        <v>178.85274156</v>
      </c>
      <c r="S51" s="95">
        <v>158.54309556000001</v>
      </c>
      <c r="T51" s="95">
        <v>158.54309556000001</v>
      </c>
      <c r="U51" s="95">
        <v>138.00320647000001</v>
      </c>
      <c r="V51" s="95">
        <v>127.03076797</v>
      </c>
      <c r="W51" s="95">
        <v>111.56486732</v>
      </c>
      <c r="X51" s="95">
        <v>111.56486732</v>
      </c>
      <c r="Y51" s="95">
        <v>111.56486732</v>
      </c>
    </row>
    <row r="52" spans="1:25" ht="16.95" customHeight="1">
      <c r="A52" s="93" t="s">
        <v>158</v>
      </c>
      <c r="B52" s="94" t="s">
        <v>185</v>
      </c>
      <c r="C52" s="95">
        <v>151.72780843999999</v>
      </c>
      <c r="D52" s="95">
        <v>151.72780843999999</v>
      </c>
      <c r="E52" s="95">
        <v>151.72780843999999</v>
      </c>
      <c r="F52" s="95">
        <v>151.72780843999999</v>
      </c>
      <c r="G52" s="95">
        <v>151.72780843999999</v>
      </c>
      <c r="H52" s="95">
        <v>151.72780843999999</v>
      </c>
      <c r="I52" s="95">
        <v>151.72780843999999</v>
      </c>
      <c r="J52" s="95">
        <v>149.52326988999999</v>
      </c>
      <c r="K52" s="95">
        <v>149.52326988999999</v>
      </c>
      <c r="L52" s="95">
        <v>138.48201104</v>
      </c>
      <c r="M52" s="95">
        <v>143.51266272999999</v>
      </c>
      <c r="N52" s="95">
        <v>143.51266272999999</v>
      </c>
      <c r="O52" s="95">
        <v>124.67998708</v>
      </c>
      <c r="P52" s="95">
        <v>124.67998708</v>
      </c>
      <c r="Q52" s="95">
        <v>114.69428548</v>
      </c>
      <c r="R52" s="95">
        <v>114.69428548</v>
      </c>
      <c r="S52" s="95">
        <v>107.69460350999999</v>
      </c>
      <c r="T52" s="95">
        <v>107.69460350999999</v>
      </c>
      <c r="U52" s="95">
        <v>99.370492130000002</v>
      </c>
      <c r="V52" s="95">
        <v>90.281606830000001</v>
      </c>
      <c r="W52" s="95">
        <v>83.254806160000001</v>
      </c>
      <c r="X52" s="95">
        <v>83.254806160000001</v>
      </c>
      <c r="Y52" s="95">
        <v>83.254806160000001</v>
      </c>
    </row>
    <row r="53" spans="1:25" ht="16.95" customHeight="1">
      <c r="A53" s="101" t="s">
        <v>158</v>
      </c>
      <c r="B53" s="102" t="s">
        <v>186</v>
      </c>
      <c r="C53" s="103">
        <v>177.62356657000001</v>
      </c>
      <c r="D53" s="103">
        <v>177.62356657000001</v>
      </c>
      <c r="E53" s="103">
        <v>177.62356657000001</v>
      </c>
      <c r="F53" s="103">
        <v>177.62356657000001</v>
      </c>
      <c r="G53" s="103">
        <v>177.62356657000001</v>
      </c>
      <c r="H53" s="103">
        <v>177.62356657000001</v>
      </c>
      <c r="I53" s="103">
        <v>177.62356657000001</v>
      </c>
      <c r="J53" s="103">
        <v>172.77004385999999</v>
      </c>
      <c r="K53" s="103">
        <v>172.77004385999999</v>
      </c>
      <c r="L53" s="103">
        <v>162.48487828</v>
      </c>
      <c r="M53" s="103">
        <v>164.64183849</v>
      </c>
      <c r="N53" s="103">
        <v>164.64183849</v>
      </c>
      <c r="O53" s="103">
        <v>151.80471161</v>
      </c>
      <c r="P53" s="103">
        <v>151.80471161</v>
      </c>
      <c r="Q53" s="103">
        <v>150.23932318999999</v>
      </c>
      <c r="R53" s="103">
        <v>150.23932318999999</v>
      </c>
      <c r="S53" s="103">
        <v>133.48874061999999</v>
      </c>
      <c r="T53" s="103">
        <v>133.48874061999999</v>
      </c>
      <c r="U53" s="103">
        <v>126.67051465999999</v>
      </c>
      <c r="V53" s="103">
        <v>118.20748641</v>
      </c>
      <c r="W53" s="103">
        <v>109.35495917999999</v>
      </c>
      <c r="X53" s="103">
        <v>109.35495917999999</v>
      </c>
      <c r="Y53" s="103">
        <v>109.35495917999999</v>
      </c>
    </row>
    <row r="54" spans="1:25">
      <c r="A54" s="104" t="s">
        <v>187</v>
      </c>
      <c r="B54" s="105"/>
      <c r="C54" s="106" t="s">
        <v>188</v>
      </c>
      <c r="D54" s="106" t="s">
        <v>188</v>
      </c>
      <c r="E54" s="106" t="s">
        <v>188</v>
      </c>
      <c r="F54" s="106" t="s">
        <v>188</v>
      </c>
      <c r="G54" s="106" t="s">
        <v>188</v>
      </c>
      <c r="H54" s="106" t="s">
        <v>188</v>
      </c>
      <c r="I54" s="106" t="s">
        <v>188</v>
      </c>
      <c r="J54" s="106" t="s">
        <v>189</v>
      </c>
      <c r="K54" s="106" t="s">
        <v>189</v>
      </c>
      <c r="L54" s="106" t="s">
        <v>190</v>
      </c>
      <c r="M54" s="106" t="s">
        <v>191</v>
      </c>
      <c r="N54" s="106" t="s">
        <v>191</v>
      </c>
      <c r="O54" s="106" t="s">
        <v>192</v>
      </c>
      <c r="P54" s="106" t="s">
        <v>192</v>
      </c>
      <c r="Q54" s="106" t="s">
        <v>193</v>
      </c>
      <c r="R54" s="106" t="s">
        <v>193</v>
      </c>
      <c r="S54" s="106" t="s">
        <v>194</v>
      </c>
      <c r="T54" s="106" t="s">
        <v>194</v>
      </c>
      <c r="U54" s="106" t="s">
        <v>195</v>
      </c>
      <c r="V54" s="106" t="s">
        <v>196</v>
      </c>
      <c r="W54" s="106" t="s">
        <v>197</v>
      </c>
      <c r="X54" s="106" t="s">
        <v>197</v>
      </c>
      <c r="Y54" s="106" t="s">
        <v>197</v>
      </c>
    </row>
    <row r="55" spans="1:25" ht="16.05" customHeight="1">
      <c r="A55" s="152" t="s">
        <v>198</v>
      </c>
      <c r="B55" s="152"/>
      <c r="C55" s="152"/>
      <c r="D55" s="152"/>
      <c r="E55" s="152"/>
      <c r="F55" s="152"/>
      <c r="G55" s="152"/>
      <c r="H55" s="152"/>
      <c r="I55" s="152"/>
      <c r="J55" s="152"/>
    </row>
    <row r="56" spans="1:25" ht="16.05" customHeight="1">
      <c r="A56" s="107"/>
      <c r="B56" s="107"/>
      <c r="C56" s="108"/>
      <c r="D56" s="108"/>
      <c r="E56" s="108"/>
      <c r="F56" s="108"/>
      <c r="G56" s="108"/>
      <c r="H56" s="108"/>
      <c r="I56" s="108"/>
      <c r="J56" s="108"/>
    </row>
    <row r="57" spans="1:25" ht="16.05" customHeight="1">
      <c r="A57" s="150" t="s">
        <v>199</v>
      </c>
      <c r="B57" s="150"/>
      <c r="C57" s="150"/>
      <c r="D57" s="150"/>
      <c r="E57" s="150"/>
      <c r="F57" s="150"/>
      <c r="G57" s="150"/>
      <c r="H57" s="150"/>
      <c r="I57" s="150"/>
      <c r="J57" s="150"/>
      <c r="K57" s="150"/>
    </row>
    <row r="58" spans="1:25" ht="16.05" customHeight="1">
      <c r="A58" s="150" t="s">
        <v>200</v>
      </c>
      <c r="B58" s="150"/>
      <c r="C58" s="150"/>
      <c r="D58" s="150"/>
      <c r="E58" s="150"/>
      <c r="F58" s="150"/>
      <c r="G58" s="150"/>
      <c r="H58" s="150"/>
      <c r="I58" s="150"/>
      <c r="J58" s="150"/>
      <c r="K58" s="150"/>
    </row>
    <row r="59" spans="1:25" ht="16.05" customHeight="1">
      <c r="A59" s="150" t="s">
        <v>201</v>
      </c>
      <c r="B59" s="150"/>
      <c r="C59" s="150"/>
      <c r="D59" s="150"/>
      <c r="E59" s="150"/>
      <c r="F59" s="150"/>
      <c r="G59" s="150"/>
      <c r="H59" s="150"/>
      <c r="I59" s="150"/>
      <c r="J59" s="150"/>
      <c r="K59" s="150"/>
    </row>
    <row r="60" spans="1:25">
      <c r="A60" s="83"/>
    </row>
  </sheetData>
  <mergeCells count="6">
    <mergeCell ref="A59:K59"/>
    <mergeCell ref="A2:X2"/>
    <mergeCell ref="A3:X3"/>
    <mergeCell ref="A55:J55"/>
    <mergeCell ref="A57:K57"/>
    <mergeCell ref="A58:K58"/>
  </mergeCells>
  <hyperlinks>
    <hyperlink ref="B1" r:id="rId1" xr:uid="{00000000-0004-0000-0600-000000000000}"/>
  </hyperlinks>
  <pageMargins left="0.7" right="0.7" top="0.75" bottom="0.75" header="0.3" footer="0.3"/>
  <pageSetup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Portfolio Emissions</vt:lpstr>
      <vt:lpstr>Facility Emissions</vt:lpstr>
      <vt:lpstr>Comments</vt:lpstr>
      <vt:lpstr>Data Validation</vt:lpstr>
      <vt:lpstr>US Emission Factors</vt:lpstr>
      <vt:lpstr>Comments!Print_Area</vt:lpstr>
      <vt:lpstr>'Facility Emissions'!Print_Area</vt:lpstr>
      <vt:lpstr>'Portfolio Emissions'!Print_Area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2020-03-20T20:13:19Z</dcterms:created>
  <dcterms:modified xsi:type="dcterms:W3CDTF">2026-01-21T18:24:33Z</dcterms:modified>
  <cp:category/>
  <cp:contentStatus/>
</cp:coreProperties>
</file>